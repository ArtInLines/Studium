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J:\KuePe\Formulare\Sonstiges\"/>
    </mc:Choice>
  </mc:AlternateContent>
  <bookViews>
    <workbookView xWindow="0" yWindow="0" windowWidth="28800" windowHeight="12300"/>
  </bookViews>
  <sheets>
    <sheet name="Tabelle1" sheetId="1" r:id="rId1"/>
    <sheet name="Tabelle2" sheetId="2" state="hidden"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 i="2" l="1"/>
  <c r="E19" i="2"/>
  <c r="C19" i="2"/>
  <c r="A19" i="2"/>
  <c r="B19" i="2"/>
  <c r="F12" i="1" l="1" a="1"/>
  <c r="F12" i="1" s="1"/>
  <c r="D14" i="2"/>
  <c r="C12" i="1" l="1"/>
  <c r="C13" i="2" l="1"/>
  <c r="D13" i="1" l="1"/>
  <c r="E1" i="2"/>
  <c r="B11" i="2" s="1"/>
  <c r="D11" i="1" l="1"/>
  <c r="J24" i="1" l="1"/>
  <c r="I25" i="1" s="1"/>
  <c r="H24" i="1"/>
  <c r="G25" i="1" s="1"/>
  <c r="F24" i="1"/>
  <c r="E25" i="1" s="1"/>
  <c r="D24" i="1"/>
  <c r="C25" i="1" s="1"/>
  <c r="B24" i="1"/>
  <c r="A25" i="1" s="1"/>
  <c r="D1" i="2"/>
  <c r="A11" i="2"/>
  <c r="C11" i="2" s="1"/>
  <c r="I13" i="1"/>
  <c r="H13" i="1"/>
  <c r="G13" i="1"/>
  <c r="F13" i="1"/>
  <c r="E13" i="1"/>
  <c r="D2" i="2" l="1" a="1"/>
  <c r="D2" i="2" s="1"/>
  <c r="F11" i="1" s="1"/>
  <c r="I15" i="1" l="1"/>
  <c r="G15" i="1"/>
  <c r="A15" i="1"/>
  <c r="C15" i="1"/>
  <c r="E15" i="1"/>
  <c r="G11" i="1"/>
</calcChain>
</file>

<file path=xl/sharedStrings.xml><?xml version="1.0" encoding="utf-8"?>
<sst xmlns="http://schemas.openxmlformats.org/spreadsheetml/2006/main" count="74" uniqueCount="52">
  <si>
    <t>gültig ab:</t>
  </si>
  <si>
    <t>gültig bis:</t>
  </si>
  <si>
    <t>(nur aktuelles Urlaubsjahr, ohne Resturlaub)</t>
  </si>
  <si>
    <t>Montag</t>
  </si>
  <si>
    <t>Dienstag</t>
  </si>
  <si>
    <t>Mittwoch</t>
  </si>
  <si>
    <t>Donnerstag</t>
  </si>
  <si>
    <t>Freitag</t>
  </si>
  <si>
    <t>Kernzeit von:</t>
  </si>
  <si>
    <t>Kernzeit bis:</t>
  </si>
  <si>
    <t>Pausenrahmen:</t>
  </si>
  <si>
    <t>Name, Vorname:</t>
  </si>
  <si>
    <t>Pause</t>
  </si>
  <si>
    <t>=WENN(UND(Tabelle1!$C$10&gt;=50%;Tabelle1!$C$10&lt;=60%);60%;WENN(UND(Tabelle1!$C$10&lt;=75%;Tabelle1!$C$10&gt;60%);75%;WENN(UND(Tabelle1!$C$10&lt;=90%;Tabelle1!$C$10&gt;75%);90%;Tabelle1!$C$10)))</t>
  </si>
  <si>
    <t>=SVERWEIS(D1;WENN(B1:B10=E1;A1:C10;"");3)</t>
  </si>
  <si>
    <t>wöch.AZ:</t>
  </si>
  <si>
    <t>genommene Urlaubstage zum Stichtag:</t>
  </si>
  <si>
    <t>_______________________________________</t>
  </si>
  <si>
    <t>Unterschrift Beschäftigte/r</t>
  </si>
  <si>
    <t>_______________________________</t>
  </si>
  <si>
    <t>Hinweise zum Arbeitszeitprofil</t>
  </si>
  <si>
    <t>Link zur Dienstvereinbarung Arbeitszeit:</t>
  </si>
  <si>
    <t>http://dezv.uni-mannheim.de/intranet/dv_zeiterfassung/DV-Arbeitszeit.pdf</t>
  </si>
  <si>
    <r>
      <rPr>
        <sz val="8"/>
        <color theme="1"/>
        <rFont val="Calibri"/>
        <family val="2"/>
        <scheme val="minor"/>
      </rPr>
      <t>Verteilung Kernarbeitszeit gem. §3 Abs. 3 DV – Arbeitszeit. Für Teilbeschäftigte, deren Arbeitszeit sich auf fünf Tage/Woche verteilt, gelten grundsätzlich folgende Mindestarbeitszeiten: Bei einer Arbeitszeit von
- 50 – 60 %: 2,5 Stunden
- 61 – 75 %: 3,3 Stunden
- 76 – 90 %: 4,0 Stunden
Verteilt sich die Arbeitszeit auf weniger als 5 Tage/Woche ist die Mindestarbeitszeit entsprechend anzupassen.</t>
    </r>
    <r>
      <rPr>
        <b/>
        <sz val="8"/>
        <color theme="1"/>
        <rFont val="Calibri"/>
        <family val="2"/>
        <scheme val="minor"/>
      </rPr>
      <t xml:space="preserve">
</t>
    </r>
  </si>
  <si>
    <t>Tägliche Sollarbeitszeit in Std.:</t>
  </si>
  <si>
    <t>Arbeitstage</t>
  </si>
  <si>
    <r>
      <rPr>
        <b/>
        <sz val="11"/>
        <color theme="1"/>
        <rFont val="Calibri"/>
        <family val="2"/>
        <scheme val="minor"/>
      </rPr>
      <t>5.)</t>
    </r>
    <r>
      <rPr>
        <sz val="11"/>
        <color theme="1"/>
        <rFont val="Calibri"/>
        <family val="2"/>
        <scheme val="minor"/>
      </rPr>
      <t xml:space="preserve">   wöchentliche Arbeitszeit (in Std. (z.B. 19,75)):</t>
    </r>
  </si>
  <si>
    <r>
      <rPr>
        <b/>
        <sz val="11"/>
        <color theme="1"/>
        <rFont val="Calibri"/>
        <family val="2"/>
        <scheme val="minor"/>
      </rPr>
      <t>6.)</t>
    </r>
    <r>
      <rPr>
        <sz val="11"/>
        <color theme="1"/>
        <rFont val="Calibri"/>
        <family val="2"/>
        <scheme val="minor"/>
      </rPr>
      <t xml:space="preserve">   Arbeitstage pro Woche:</t>
    </r>
  </si>
  <si>
    <t xml:space="preserve"> </t>
  </si>
  <si>
    <t>2.)</t>
  </si>
  <si>
    <t>Gleitzeitrahmen Mo. - Fr. von 6 Uhr bis 20 Uhr</t>
  </si>
  <si>
    <t>Kernzeit / Tag zu verteilen:</t>
  </si>
  <si>
    <t>7.) Wechselnde Arbeitstage / Woche:</t>
  </si>
  <si>
    <t>Einrichtung:</t>
  </si>
  <si>
    <t>39,5</t>
  </si>
  <si>
    <t>Vorgesetzte/r:</t>
  </si>
  <si>
    <t>(Nur weiße Felder können gefüllt werden)</t>
  </si>
  <si>
    <t>Datum und Unterschrift des Vorgesetzten</t>
  </si>
  <si>
    <t>3.)</t>
  </si>
  <si>
    <t>4.)</t>
  </si>
  <si>
    <t>1.) Makros müssen aktiviert werden</t>
  </si>
  <si>
    <t>1. Makros müssen aktiviert werden, dass die automatische Eintragung eingeschaltet ist.</t>
  </si>
  <si>
    <r>
      <t xml:space="preserve"> Zur Berchnung des neuen Urlausanspruchs ist </t>
    </r>
    <r>
      <rPr>
        <u/>
        <sz val="11"/>
        <color theme="1"/>
        <rFont val="Calibri"/>
        <family val="2"/>
        <scheme val="minor"/>
      </rPr>
      <t xml:space="preserve">zwingend </t>
    </r>
    <r>
      <rPr>
        <sz val="11"/>
        <color theme="1"/>
        <rFont val="Calibri"/>
        <family val="2"/>
        <scheme val="minor"/>
      </rPr>
      <t>der genommene Urlaub bis zum Stichtag des Wechsels der Arbeitszeitverteilung anzugeben. Der Resturlaubsanspruch aus dem Vorjahr bleibt dabei unberücksichtigt.</t>
    </r>
  </si>
  <si>
    <r>
      <t xml:space="preserve">6. Es wird von einer von einer 5 Tagewoche ausgegangen. Eine niedrigere Arbeitstagewoche muss </t>
    </r>
    <r>
      <rPr>
        <b/>
        <u/>
        <sz val="11"/>
        <color theme="1"/>
        <rFont val="Calibri"/>
        <family val="2"/>
        <scheme val="minor"/>
      </rPr>
      <t>durch Markierung der Wochentage</t>
    </r>
    <r>
      <rPr>
        <b/>
        <sz val="11"/>
        <color theme="1"/>
        <rFont val="Calibri"/>
        <family val="2"/>
        <scheme val="minor"/>
      </rPr>
      <t xml:space="preserve"> angegeben werden.</t>
    </r>
  </si>
  <si>
    <r>
      <rPr>
        <b/>
        <sz val="11"/>
        <color theme="1"/>
        <rFont val="Calibri"/>
        <family val="2"/>
        <scheme val="minor"/>
      </rPr>
      <t>2.</t>
    </r>
    <r>
      <rPr>
        <sz val="11"/>
        <color theme="1"/>
        <rFont val="Calibri"/>
        <family val="2"/>
        <scheme val="minor"/>
      </rPr>
      <t xml:space="preserve"> Auswahl der Angabe zum Beschäftigungsverhältnis, ob Angestellten- oder Beamtenverhältnis</t>
    </r>
  </si>
  <si>
    <r>
      <rPr>
        <b/>
        <sz val="11"/>
        <color theme="1"/>
        <rFont val="Calibri"/>
        <family val="2"/>
        <scheme val="minor"/>
      </rPr>
      <t xml:space="preserve">3. </t>
    </r>
    <r>
      <rPr>
        <sz val="11"/>
        <color theme="1"/>
        <rFont val="Calibri"/>
        <family val="2"/>
        <scheme val="minor"/>
      </rPr>
      <t>Auswahl des Umfangs der Beschäftigung (zwischen Teilzeit und Vollzeit)</t>
    </r>
  </si>
  <si>
    <r>
      <rPr>
        <b/>
        <sz val="11"/>
        <color theme="1"/>
        <rFont val="Calibri"/>
        <family val="2"/>
        <scheme val="minor"/>
      </rPr>
      <t>4.</t>
    </r>
    <r>
      <rPr>
        <sz val="11"/>
        <color theme="1"/>
        <rFont val="Calibri"/>
        <family val="2"/>
        <scheme val="minor"/>
      </rPr>
      <t xml:space="preserve">  Zeitraum der angegebenen Arbeitszeitverteilung</t>
    </r>
  </si>
  <si>
    <r>
      <rPr>
        <b/>
        <sz val="11"/>
        <color theme="1"/>
        <rFont val="Calibri"/>
        <family val="2"/>
        <scheme val="minor"/>
      </rPr>
      <t>5.</t>
    </r>
    <r>
      <rPr>
        <sz val="11"/>
        <color theme="1"/>
        <rFont val="Calibri"/>
        <family val="2"/>
        <scheme val="minor"/>
      </rPr>
      <t xml:space="preserve"> Die wöchentliche Arbeitszeit ist (wie im Arbeitsvertrag) als Dezimalzahl einzutragen.</t>
    </r>
  </si>
  <si>
    <r>
      <rPr>
        <b/>
        <sz val="11"/>
        <color theme="1"/>
        <rFont val="Calibri"/>
        <family val="2"/>
        <scheme val="minor"/>
      </rPr>
      <t>7.</t>
    </r>
    <r>
      <rPr>
        <sz val="11"/>
        <color theme="1"/>
        <rFont val="Calibri"/>
        <family val="2"/>
        <scheme val="minor"/>
      </rPr>
      <t xml:space="preserve"> Wechselt die Verteilung der Arbeitstagewoche (z.B. 3 Wochen Verteilung mit 4 Arbeitstage, in der 4. Woche aber mit 5 Arbeitstage), so ist im Arbeitszeitprofil unter "wechselnde Arbeitstage pro Woche" ein Haken zu setzen und zu kennzeichnen für welchen Zeitraum die angegebene Arbeitszeitverteilung gilt. Für die abweichende Verteilung ist ein weiterer Arbeitszeitbogen auszufüllen. </t>
    </r>
  </si>
  <si>
    <r>
      <rPr>
        <b/>
        <sz val="11"/>
        <color theme="1"/>
        <rFont val="Calibri"/>
        <family val="2"/>
        <scheme val="minor"/>
      </rPr>
      <t>8.</t>
    </r>
    <r>
      <rPr>
        <sz val="11"/>
        <color theme="1"/>
        <rFont val="Calibri"/>
        <family val="2"/>
        <scheme val="minor"/>
      </rPr>
      <t xml:space="preserve"> Die Verteilung der Arbeitszeit erfolgt unter Angabe von Stunden und Minuten. Es ist die tägliche Mindestarbeitszeit und die tägliche Sollarbeitszeit einzutragen. Die Angabe der Sollarbeitszeit erfolgt als Stundenangabe (Dezimalzahl).  Eine Pause erfolgt mit einen Pausenrahmen von 11:30 Uhr bis 14:00 Uhr, wenn mehr als 6,5 Std. am Tag gearbeitet wird.  </t>
    </r>
    <r>
      <rPr>
        <u/>
        <sz val="11"/>
        <color theme="1"/>
        <rFont val="Calibri"/>
        <family val="2"/>
        <scheme val="minor"/>
      </rPr>
      <t>Die Summe der täglichen Sollarbeitszeiten muss immer die wöchentliche Arbeitszeit ergeben.</t>
    </r>
  </si>
  <si>
    <r>
      <rPr>
        <b/>
        <sz val="11"/>
        <color theme="1"/>
        <rFont val="Calibri"/>
        <family val="2"/>
        <scheme val="minor"/>
      </rPr>
      <t>9.</t>
    </r>
    <r>
      <rPr>
        <sz val="11"/>
        <color theme="1"/>
        <rFont val="Calibri"/>
        <family val="2"/>
        <scheme val="minor"/>
      </rPr>
      <t xml:space="preserve"> </t>
    </r>
    <r>
      <rPr>
        <b/>
        <u/>
        <sz val="11"/>
        <color theme="1"/>
        <rFont val="Calibri"/>
        <family val="2"/>
        <scheme val="minor"/>
      </rPr>
      <t>Die erste Seite</t>
    </r>
    <r>
      <rPr>
        <u/>
        <sz val="11"/>
        <color theme="1"/>
        <rFont val="Calibri"/>
        <family val="2"/>
        <scheme val="minor"/>
      </rPr>
      <t xml:space="preserve"> d</t>
    </r>
    <r>
      <rPr>
        <sz val="11"/>
        <color theme="1"/>
        <rFont val="Calibri"/>
        <family val="2"/>
        <scheme val="minor"/>
      </rPr>
      <t xml:space="preserve">es elektronisch ausgefüllten Arbeitszeitbogen wird </t>
    </r>
    <r>
      <rPr>
        <u/>
        <sz val="11"/>
        <color theme="1"/>
        <rFont val="Calibri"/>
        <family val="2"/>
        <scheme val="minor"/>
      </rPr>
      <t>ausgedruckt</t>
    </r>
    <r>
      <rPr>
        <sz val="11"/>
        <color theme="1"/>
        <rFont val="Calibri"/>
        <family val="2"/>
        <scheme val="minor"/>
      </rPr>
      <t xml:space="preserve"> vom </t>
    </r>
    <r>
      <rPr>
        <u/>
        <sz val="11"/>
        <color theme="1"/>
        <rFont val="Calibri"/>
        <family val="2"/>
        <scheme val="minor"/>
      </rPr>
      <t>Mitarbeiter und vom Vorgesetzen unterzeichnet</t>
    </r>
    <r>
      <rPr>
        <sz val="11"/>
        <color theme="1"/>
        <rFont val="Calibri"/>
        <family val="2"/>
        <scheme val="minor"/>
      </rPr>
      <t xml:space="preserve"> und anschließend an das Personaldezernat geschickt, welches die weitere Pflege des Arbeitszeitprofils veranlasst.</t>
    </r>
  </si>
  <si>
    <r>
      <t xml:space="preserve">Die werktägliche Arbeitszeit darf für </t>
    </r>
    <r>
      <rPr>
        <b/>
        <sz val="11"/>
        <color theme="1"/>
        <rFont val="Calibri"/>
        <family val="2"/>
        <scheme val="minor"/>
      </rPr>
      <t>Arbeitnehmer/innen</t>
    </r>
    <r>
      <rPr>
        <sz val="11"/>
        <color theme="1"/>
        <rFont val="Calibri"/>
        <family val="2"/>
        <scheme val="minor"/>
      </rPr>
      <t xml:space="preserve"> gemäß § 3 Arbeitszeitgesetz (ArbZG) </t>
    </r>
    <r>
      <rPr>
        <b/>
        <sz val="11"/>
        <color theme="1"/>
        <rFont val="Calibri"/>
        <family val="2"/>
        <scheme val="minor"/>
      </rPr>
      <t>acht Stunden</t>
    </r>
    <r>
      <rPr>
        <sz val="11"/>
        <color theme="1"/>
        <rFont val="Calibri"/>
        <family val="2"/>
        <scheme val="minor"/>
      </rPr>
      <t xml:space="preserve"> nicht überschreiten. Sie kann auf </t>
    </r>
    <r>
      <rPr>
        <b/>
        <sz val="11"/>
        <color theme="1"/>
        <rFont val="Calibri"/>
        <family val="2"/>
        <scheme val="minor"/>
      </rPr>
      <t>bis zu zehn Stunden</t>
    </r>
    <r>
      <rPr>
        <sz val="11"/>
        <color theme="1"/>
        <rFont val="Calibri"/>
        <family val="2"/>
        <scheme val="minor"/>
      </rPr>
      <t xml:space="preserve"> nur verlängert werden, wenn innerhalb von 6 Kalendermonaten oder innerhalb von 24 Wochen im </t>
    </r>
    <r>
      <rPr>
        <b/>
        <sz val="11"/>
        <color theme="1"/>
        <rFont val="Calibri"/>
        <family val="2"/>
        <scheme val="minor"/>
      </rPr>
      <t>Durchschnitt acht Stunden</t>
    </r>
    <r>
      <rPr>
        <sz val="11"/>
        <color theme="1"/>
        <rFont val="Calibri"/>
        <family val="2"/>
        <scheme val="minor"/>
      </rPr>
      <t xml:space="preserve"> werktäglich nicht überschritten werden. </t>
    </r>
    <r>
      <rPr>
        <b/>
        <sz val="11"/>
        <color theme="1"/>
        <rFont val="Calibri"/>
        <family val="2"/>
        <scheme val="minor"/>
      </rPr>
      <t>Dies wurde bei der beantragten Arbeitszeitfestlegung berücksichtigt.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</si>
</sst>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h:mm;@"/>
    <numFmt numFmtId="165" formatCode="0.0%"/>
  </numFmts>
  <fonts count="15" x14ac:knownFonts="1">
    <font>
      <sz val="11"/>
      <color theme="1"/>
      <name val="Calibri"/>
      <family val="2"/>
      <scheme val="minor"/>
    </font>
    <font>
      <sz val="11"/>
      <color theme="1"/>
      <name val="Calibri"/>
      <family val="2"/>
      <scheme val="minor"/>
    </font>
    <font>
      <b/>
      <sz val="11"/>
      <color rgb="FFFF0000"/>
      <name val="Calibri"/>
      <family val="2"/>
      <scheme val="minor"/>
    </font>
    <font>
      <b/>
      <u/>
      <sz val="11"/>
      <color rgb="FFFF0000"/>
      <name val="Calibri"/>
      <family val="2"/>
      <scheme val="minor"/>
    </font>
    <font>
      <sz val="11"/>
      <name val="Calibri"/>
      <family val="2"/>
      <scheme val="minor"/>
    </font>
    <font>
      <b/>
      <sz val="8"/>
      <color theme="1"/>
      <name val="Calibri"/>
      <family val="2"/>
      <scheme val="minor"/>
    </font>
    <font>
      <sz val="8"/>
      <color theme="1"/>
      <name val="Calibri"/>
      <family val="2"/>
      <scheme val="minor"/>
    </font>
    <font>
      <sz val="8"/>
      <color rgb="FF000000"/>
      <name val="Segoe UI"/>
      <family val="2"/>
    </font>
    <font>
      <b/>
      <sz val="11"/>
      <color theme="1"/>
      <name val="Calibri"/>
      <family val="2"/>
      <scheme val="minor"/>
    </font>
    <font>
      <sz val="11"/>
      <color theme="0"/>
      <name val="Calibri"/>
      <family val="2"/>
      <scheme val="minor"/>
    </font>
    <font>
      <b/>
      <u/>
      <sz val="11"/>
      <color theme="1"/>
      <name val="Calibri"/>
      <family val="2"/>
      <scheme val="minor"/>
    </font>
    <font>
      <u/>
      <sz val="11"/>
      <color theme="10"/>
      <name val="Calibri"/>
      <family val="2"/>
      <scheme val="minor"/>
    </font>
    <font>
      <u/>
      <sz val="11"/>
      <color theme="1"/>
      <name val="Calibri"/>
      <family val="2"/>
      <scheme val="minor"/>
    </font>
    <font>
      <sz val="11"/>
      <color rgb="FFFF0000"/>
      <name val="Calibri"/>
      <family val="2"/>
      <scheme val="minor"/>
    </font>
    <font>
      <b/>
      <sz val="11"/>
      <color theme="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FFFF"/>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s>
  <borders count="19">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s>
  <cellStyleXfs count="3">
    <xf numFmtId="0" fontId="0" fillId="0" borderId="0"/>
    <xf numFmtId="9" fontId="1" fillId="0" borderId="0" applyFont="0" applyFill="0" applyBorder="0" applyAlignment="0" applyProtection="0"/>
    <xf numFmtId="0" fontId="11" fillId="0" borderId="0" applyNumberFormat="0" applyFill="0" applyBorder="0" applyAlignment="0" applyProtection="0"/>
  </cellStyleXfs>
  <cellXfs count="116">
    <xf numFmtId="0" fontId="0" fillId="0" borderId="0" xfId="0"/>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wrapText="1"/>
    </xf>
    <xf numFmtId="0" fontId="0" fillId="3" borderId="0" xfId="0" applyFill="1"/>
    <xf numFmtId="0" fontId="0" fillId="3" borderId="0" xfId="0" applyFill="1" applyAlignment="1">
      <alignment horizontal="center"/>
    </xf>
    <xf numFmtId="0" fontId="0" fillId="3" borderId="0" xfId="0" applyFill="1" applyBorder="1" applyAlignment="1">
      <alignment horizontal="center"/>
    </xf>
    <xf numFmtId="0" fontId="0" fillId="4" borderId="0" xfId="0" applyFill="1" applyBorder="1"/>
    <xf numFmtId="0" fontId="3" fillId="4" borderId="0" xfId="0" applyFont="1" applyFill="1" applyBorder="1" applyAlignment="1">
      <alignment vertical="center"/>
    </xf>
    <xf numFmtId="0" fontId="0" fillId="4" borderId="0" xfId="0" applyFill="1" applyBorder="1" applyAlignment="1">
      <alignment horizontal="right"/>
    </xf>
    <xf numFmtId="0" fontId="0" fillId="4" borderId="0" xfId="0" applyFill="1" applyBorder="1" applyAlignment="1">
      <alignment wrapText="1"/>
    </xf>
    <xf numFmtId="0" fontId="0" fillId="0" borderId="0" xfId="0" applyNumberFormat="1"/>
    <xf numFmtId="0" fontId="0" fillId="3" borderId="0" xfId="0" applyFill="1" applyProtection="1">
      <protection locked="0"/>
    </xf>
    <xf numFmtId="164" fontId="10" fillId="5" borderId="10" xfId="0" applyNumberFormat="1" applyFont="1" applyFill="1" applyBorder="1" applyAlignment="1">
      <alignment horizontal="center" wrapText="1"/>
    </xf>
    <xf numFmtId="0" fontId="0" fillId="3" borderId="15" xfId="0" applyFill="1" applyBorder="1"/>
    <xf numFmtId="0" fontId="8" fillId="3" borderId="0" xfId="0" applyFont="1" applyFill="1"/>
    <xf numFmtId="0" fontId="5" fillId="3" borderId="0" xfId="0" applyFont="1" applyFill="1" applyBorder="1" applyAlignment="1">
      <alignment vertical="top" wrapText="1"/>
    </xf>
    <xf numFmtId="0" fontId="0" fillId="6" borderId="7" xfId="0" applyFill="1" applyBorder="1"/>
    <xf numFmtId="0" fontId="0" fillId="4" borderId="2" xfId="0" applyFill="1" applyBorder="1"/>
    <xf numFmtId="0" fontId="0" fillId="4" borderId="1" xfId="0" applyFill="1" applyBorder="1"/>
    <xf numFmtId="0" fontId="0" fillId="4" borderId="0" xfId="0" applyFill="1"/>
    <xf numFmtId="0" fontId="10" fillId="3" borderId="0" xfId="0" applyFont="1" applyFill="1"/>
    <xf numFmtId="0" fontId="0" fillId="3" borderId="14" xfId="0" applyFill="1" applyBorder="1" applyAlignment="1" applyProtection="1">
      <alignment horizontal="center"/>
      <protection locked="0"/>
    </xf>
    <xf numFmtId="0" fontId="0" fillId="3" borderId="10" xfId="0" applyFill="1" applyBorder="1" applyAlignment="1" applyProtection="1">
      <alignment horizontal="center"/>
      <protection locked="0"/>
    </xf>
    <xf numFmtId="164" fontId="0" fillId="0" borderId="4" xfId="0" applyNumberFormat="1" applyBorder="1" applyAlignment="1" applyProtection="1">
      <alignment horizontal="center" vertical="center"/>
      <protection locked="0"/>
    </xf>
    <xf numFmtId="0" fontId="9" fillId="4" borderId="13" xfId="0" applyFont="1" applyFill="1" applyBorder="1" applyProtection="1">
      <protection locked="0" hidden="1"/>
    </xf>
    <xf numFmtId="0" fontId="4" fillId="0" borderId="0" xfId="0" applyFont="1"/>
    <xf numFmtId="2" fontId="0" fillId="0" borderId="4" xfId="0" applyNumberFormat="1" applyBorder="1" applyAlignment="1" applyProtection="1">
      <alignment horizontal="center" vertical="center"/>
      <protection locked="0"/>
    </xf>
    <xf numFmtId="2" fontId="2" fillId="3" borderId="8" xfId="0" applyNumberFormat="1" applyFont="1" applyFill="1" applyBorder="1" applyAlignment="1">
      <alignment horizontal="center" vertical="center" wrapText="1"/>
    </xf>
    <xf numFmtId="0" fontId="2" fillId="4" borderId="0" xfId="0" applyFont="1" applyFill="1" applyBorder="1" applyAlignment="1">
      <alignment vertical="top"/>
    </xf>
    <xf numFmtId="0" fontId="0" fillId="3" borderId="0" xfId="0" applyFill="1" applyAlignment="1">
      <alignment horizontal="center" wrapText="1"/>
    </xf>
    <xf numFmtId="0" fontId="8" fillId="3" borderId="0" xfId="0" applyFont="1" applyFill="1" applyAlignment="1">
      <alignment horizontal="right" vertical="top"/>
    </xf>
    <xf numFmtId="0" fontId="8" fillId="3" borderId="0" xfId="0" applyFont="1" applyFill="1" applyAlignment="1">
      <alignment horizontal="right"/>
    </xf>
    <xf numFmtId="0" fontId="0" fillId="0" borderId="0" xfId="0" applyFill="1"/>
    <xf numFmtId="0" fontId="5" fillId="0" borderId="0" xfId="0" applyFont="1" applyFill="1" applyBorder="1" applyAlignment="1">
      <alignment vertical="top" wrapText="1"/>
    </xf>
    <xf numFmtId="0" fontId="8" fillId="5" borderId="9" xfId="0" applyFont="1" applyFill="1" applyBorder="1" applyAlignment="1">
      <alignment wrapText="1"/>
    </xf>
    <xf numFmtId="0" fontId="13" fillId="3" borderId="0" xfId="0" applyFont="1" applyFill="1"/>
    <xf numFmtId="0" fontId="0" fillId="6" borderId="3" xfId="0" applyFill="1" applyBorder="1"/>
    <xf numFmtId="0" fontId="0" fillId="3" borderId="16" xfId="0" applyFill="1" applyBorder="1" applyAlignment="1">
      <alignment horizontal="center"/>
    </xf>
    <xf numFmtId="0" fontId="8" fillId="6" borderId="4" xfId="0" applyFont="1" applyFill="1" applyBorder="1"/>
    <xf numFmtId="0" fontId="8" fillId="4" borderId="12" xfId="0" applyFont="1" applyFill="1" applyBorder="1"/>
    <xf numFmtId="0" fontId="8" fillId="2" borderId="4" xfId="0" applyFont="1" applyFill="1" applyBorder="1"/>
    <xf numFmtId="0" fontId="8" fillId="2" borderId="6" xfId="0" applyFont="1" applyFill="1" applyBorder="1"/>
    <xf numFmtId="0" fontId="8" fillId="6" borderId="14" xfId="0" applyFont="1" applyFill="1" applyBorder="1" applyAlignment="1">
      <alignment horizontal="center"/>
    </xf>
    <xf numFmtId="0" fontId="0" fillId="0" borderId="0" xfId="0" applyFont="1"/>
    <xf numFmtId="20" fontId="0" fillId="0" borderId="0" xfId="0" applyNumberFormat="1" applyFont="1"/>
    <xf numFmtId="0" fontId="13" fillId="0" borderId="0" xfId="0" applyFont="1"/>
    <xf numFmtId="20" fontId="13" fillId="0" borderId="0" xfId="0" applyNumberFormat="1" applyFont="1"/>
    <xf numFmtId="0" fontId="0" fillId="0" borderId="4" xfId="0" applyFill="1" applyBorder="1"/>
    <xf numFmtId="0" fontId="3" fillId="3" borderId="0" xfId="0" applyFont="1" applyFill="1" applyAlignment="1">
      <alignment horizontal="right"/>
    </xf>
    <xf numFmtId="0" fontId="2" fillId="0" borderId="0" xfId="0" applyFont="1"/>
    <xf numFmtId="0" fontId="8" fillId="3" borderId="0" xfId="0" applyFont="1" applyFill="1" applyAlignment="1"/>
    <xf numFmtId="0" fontId="0" fillId="0" borderId="0" xfId="0" applyBorder="1"/>
    <xf numFmtId="2" fontId="2" fillId="3" borderId="0" xfId="0" quotePrefix="1" applyNumberFormat="1" applyFont="1" applyFill="1" applyBorder="1" applyAlignment="1">
      <alignment horizontal="center" vertical="center" wrapText="1"/>
    </xf>
    <xf numFmtId="9" fontId="9" fillId="0" borderId="0" xfId="0" applyNumberFormat="1" applyFont="1" applyFill="1" applyProtection="1">
      <protection locked="0" hidden="1"/>
    </xf>
    <xf numFmtId="0" fontId="9" fillId="0" borderId="0" xfId="0" applyNumberFormat="1" applyFont="1" applyFill="1" applyProtection="1">
      <protection locked="0" hidden="1"/>
    </xf>
    <xf numFmtId="0" fontId="9" fillId="0" borderId="0" xfId="0" applyFont="1" applyFill="1" applyProtection="1">
      <protection locked="0" hidden="1"/>
    </xf>
    <xf numFmtId="9" fontId="9" fillId="0" borderId="0" xfId="1" applyFont="1" applyFill="1" applyAlignment="1" applyProtection="1">
      <alignment horizontal="left"/>
      <protection locked="0" hidden="1"/>
    </xf>
    <xf numFmtId="0" fontId="9" fillId="0" borderId="0" xfId="0" applyFont="1" applyFill="1" applyProtection="1">
      <protection locked="0"/>
    </xf>
    <xf numFmtId="0" fontId="9" fillId="0" borderId="0" xfId="0" applyFont="1" applyFill="1" applyProtection="1">
      <protection hidden="1"/>
    </xf>
    <xf numFmtId="0" fontId="9" fillId="0" borderId="0" xfId="0" applyFont="1"/>
    <xf numFmtId="0" fontId="9" fillId="0" borderId="0" xfId="0" applyFont="1" applyFill="1"/>
    <xf numFmtId="0" fontId="9" fillId="0" borderId="0" xfId="0" applyFont="1" applyFill="1" applyAlignment="1" applyProtection="1">
      <alignment horizontal="left"/>
      <protection locked="0" hidden="1"/>
    </xf>
    <xf numFmtId="0" fontId="9" fillId="0" borderId="0" xfId="0" quotePrefix="1" applyFont="1" applyFill="1" applyAlignment="1">
      <alignment horizontal="left"/>
    </xf>
    <xf numFmtId="9" fontId="9" fillId="0" borderId="0" xfId="1" applyFont="1" applyFill="1" applyAlignment="1" applyProtection="1">
      <alignment horizontal="right"/>
      <protection locked="0" hidden="1"/>
    </xf>
    <xf numFmtId="2" fontId="14" fillId="0" borderId="8" xfId="0" applyNumberFormat="1" applyFont="1" applyFill="1" applyBorder="1" applyAlignment="1" applyProtection="1">
      <alignment horizontal="center" vertical="center" wrapText="1"/>
      <protection locked="0"/>
    </xf>
    <xf numFmtId="0" fontId="9" fillId="0" borderId="0" xfId="0" applyNumberFormat="1" applyFont="1" applyFill="1" applyAlignment="1" applyProtection="1">
      <alignment horizontal="left"/>
      <protection locked="0" hidden="1"/>
    </xf>
    <xf numFmtId="20" fontId="9" fillId="0" borderId="0" xfId="0" applyNumberFormat="1" applyFont="1" applyFill="1" applyProtection="1">
      <protection locked="0" hidden="1"/>
    </xf>
    <xf numFmtId="0" fontId="9" fillId="0" borderId="0" xfId="0" applyNumberFormat="1" applyFont="1" applyFill="1" applyProtection="1">
      <protection locked="0"/>
    </xf>
    <xf numFmtId="20" fontId="9" fillId="0" borderId="0" xfId="0" applyNumberFormat="1" applyFont="1" applyFill="1" applyProtection="1">
      <protection locked="0"/>
    </xf>
    <xf numFmtId="20" fontId="9" fillId="0" borderId="0" xfId="0" applyNumberFormat="1" applyFont="1" applyFill="1"/>
    <xf numFmtId="2" fontId="8" fillId="0" borderId="17" xfId="0" applyNumberFormat="1" applyFont="1" applyFill="1" applyBorder="1" applyAlignment="1" applyProtection="1">
      <alignment horizontal="center"/>
      <protection locked="0"/>
    </xf>
    <xf numFmtId="165" fontId="8" fillId="6" borderId="18" xfId="1" applyNumberFormat="1" applyFont="1" applyFill="1" applyBorder="1" applyAlignment="1" applyProtection="1">
      <alignment horizontal="center"/>
    </xf>
    <xf numFmtId="0" fontId="0" fillId="3" borderId="0" xfId="0" applyFill="1" applyAlignment="1">
      <alignment vertical="top" wrapText="1"/>
    </xf>
    <xf numFmtId="0" fontId="0" fillId="3" borderId="0" xfId="0" applyFill="1" applyAlignment="1">
      <alignment horizontal="left" vertical="top" wrapText="1"/>
    </xf>
    <xf numFmtId="0" fontId="0" fillId="4" borderId="9" xfId="0" applyFont="1" applyFill="1" applyBorder="1" applyAlignment="1">
      <alignment horizontal="left" vertical="center" wrapText="1"/>
    </xf>
    <xf numFmtId="0" fontId="0" fillId="4" borderId="10" xfId="0" applyFont="1" applyFill="1" applyBorder="1" applyAlignment="1">
      <alignment horizontal="left" vertical="center" wrapText="1"/>
    </xf>
    <xf numFmtId="0" fontId="0" fillId="4" borderId="11" xfId="0" applyFont="1" applyFill="1" applyBorder="1" applyAlignment="1">
      <alignment horizontal="left" vertical="center" wrapText="1"/>
    </xf>
    <xf numFmtId="164" fontId="4" fillId="0" borderId="5" xfId="0" applyNumberFormat="1" applyFont="1" applyBorder="1" applyAlignment="1" applyProtection="1">
      <alignment horizontal="center" vertical="center"/>
      <protection locked="0"/>
    </xf>
    <xf numFmtId="164" fontId="4" fillId="0" borderId="6" xfId="0" applyNumberFormat="1" applyFont="1" applyBorder="1" applyAlignment="1" applyProtection="1">
      <alignment horizontal="center" vertical="center"/>
      <protection locked="0"/>
    </xf>
    <xf numFmtId="0" fontId="11" fillId="3" borderId="0" xfId="2" applyFill="1" applyAlignment="1" applyProtection="1">
      <alignment horizontal="left"/>
      <protection locked="0"/>
    </xf>
    <xf numFmtId="0" fontId="8" fillId="6" borderId="5" xfId="0" applyFont="1" applyFill="1" applyBorder="1" applyAlignment="1">
      <alignment horizontal="left"/>
    </xf>
    <xf numFmtId="0" fontId="8" fillId="6" borderId="6" xfId="0" applyFont="1" applyFill="1" applyBorder="1" applyAlignment="1">
      <alignment horizontal="left"/>
    </xf>
    <xf numFmtId="0" fontId="10" fillId="0" borderId="5" xfId="0" applyFont="1" applyBorder="1" applyAlignment="1">
      <alignment horizontal="left" vertical="center" shrinkToFit="1"/>
    </xf>
    <xf numFmtId="0" fontId="10" fillId="0" borderId="6" xfId="0" applyFont="1" applyBorder="1" applyAlignment="1">
      <alignment horizontal="left" vertical="center" shrinkToFit="1"/>
    </xf>
    <xf numFmtId="0" fontId="10" fillId="0" borderId="5" xfId="0" applyFont="1" applyBorder="1" applyAlignment="1">
      <alignment horizontal="center" vertical="center" shrinkToFit="1"/>
    </xf>
    <xf numFmtId="0" fontId="10" fillId="0" borderId="6" xfId="0" applyFont="1" applyBorder="1" applyAlignment="1">
      <alignment horizontal="center" vertical="center" shrinkToFit="1"/>
    </xf>
    <xf numFmtId="0" fontId="0" fillId="3" borderId="4" xfId="0" applyFill="1" applyBorder="1" applyAlignment="1" applyProtection="1">
      <alignment horizontal="left"/>
      <protection locked="0"/>
    </xf>
    <xf numFmtId="0" fontId="2" fillId="3" borderId="0" xfId="0" applyFont="1" applyFill="1" applyBorder="1" applyAlignment="1">
      <alignment horizontal="right" vertical="center" wrapText="1"/>
    </xf>
    <xf numFmtId="164" fontId="0" fillId="0" borderId="5" xfId="0" applyNumberFormat="1" applyFont="1" applyBorder="1" applyAlignment="1" applyProtection="1">
      <alignment horizontal="center" vertical="center"/>
      <protection locked="0"/>
    </xf>
    <xf numFmtId="164" fontId="0" fillId="0" borderId="6" xfId="0" applyNumberFormat="1" applyFont="1" applyBorder="1" applyAlignment="1" applyProtection="1">
      <alignment horizontal="center" vertical="center"/>
      <protection locked="0"/>
    </xf>
    <xf numFmtId="0" fontId="5" fillId="3" borderId="0" xfId="0" applyFont="1" applyFill="1" applyBorder="1" applyAlignment="1">
      <alignment horizontal="left" vertical="top" wrapText="1"/>
    </xf>
    <xf numFmtId="0" fontId="0" fillId="4" borderId="0" xfId="0" applyFill="1" applyAlignment="1">
      <alignment horizontal="left" wrapText="1"/>
    </xf>
    <xf numFmtId="0" fontId="0" fillId="3" borderId="0" xfId="0" applyFill="1" applyAlignment="1">
      <alignment horizontal="left" wrapText="1"/>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8" fillId="3" borderId="0" xfId="0" applyFont="1" applyFill="1" applyAlignment="1">
      <alignment horizontal="center"/>
    </xf>
    <xf numFmtId="0" fontId="0" fillId="4" borderId="0" xfId="0" applyFill="1" applyBorder="1" applyAlignment="1">
      <alignment horizontal="right"/>
    </xf>
    <xf numFmtId="0" fontId="0" fillId="4" borderId="0" xfId="0" applyFill="1" applyBorder="1" applyAlignment="1">
      <alignment horizontal="right" wrapText="1"/>
    </xf>
    <xf numFmtId="0" fontId="0" fillId="4" borderId="0" xfId="0" applyFill="1" applyBorder="1" applyAlignment="1" applyProtection="1">
      <alignment horizontal="center"/>
      <protection locked="0"/>
    </xf>
    <xf numFmtId="0" fontId="0" fillId="4" borderId="1" xfId="0" applyFill="1" applyBorder="1" applyAlignment="1" applyProtection="1">
      <alignment horizontal="center"/>
      <protection locked="0"/>
    </xf>
    <xf numFmtId="0" fontId="8" fillId="5" borderId="10" xfId="0" applyFont="1" applyFill="1" applyBorder="1" applyAlignment="1">
      <alignment horizontal="left" wrapText="1"/>
    </xf>
    <xf numFmtId="0" fontId="8" fillId="5" borderId="11" xfId="0" applyFont="1" applyFill="1" applyBorder="1" applyAlignment="1">
      <alignment horizontal="left" wrapText="1"/>
    </xf>
    <xf numFmtId="0" fontId="2" fillId="4" borderId="0" xfId="0" applyFont="1" applyFill="1" applyBorder="1" applyAlignment="1">
      <alignment horizontal="center" vertical="top"/>
    </xf>
    <xf numFmtId="0" fontId="8" fillId="5" borderId="9" xfId="0" applyFont="1" applyFill="1" applyBorder="1" applyAlignment="1">
      <alignment horizontal="center" wrapText="1"/>
    </xf>
    <xf numFmtId="0" fontId="8" fillId="5" borderId="10" xfId="0" applyFont="1" applyFill="1" applyBorder="1" applyAlignment="1">
      <alignment horizontal="center" wrapText="1"/>
    </xf>
    <xf numFmtId="14" fontId="0" fillId="3" borderId="0" xfId="0" applyNumberFormat="1" applyFill="1" applyAlignment="1" applyProtection="1">
      <alignment horizontal="center"/>
      <protection locked="0"/>
    </xf>
    <xf numFmtId="0" fontId="0" fillId="3" borderId="0" xfId="0" applyFill="1" applyAlignment="1" applyProtection="1">
      <alignment horizontal="center"/>
      <protection locked="0"/>
    </xf>
    <xf numFmtId="0" fontId="0" fillId="3" borderId="1" xfId="0" applyFill="1" applyBorder="1" applyAlignment="1" applyProtection="1">
      <alignment horizontal="center"/>
      <protection locked="0"/>
    </xf>
    <xf numFmtId="14" fontId="0" fillId="4" borderId="2" xfId="0" applyNumberFormat="1" applyFill="1" applyBorder="1" applyAlignment="1" applyProtection="1">
      <alignment horizontal="center"/>
      <protection locked="0"/>
    </xf>
    <xf numFmtId="0" fontId="0" fillId="4" borderId="2" xfId="0" applyFill="1" applyBorder="1" applyAlignment="1" applyProtection="1">
      <alignment horizontal="center"/>
      <protection locked="0"/>
    </xf>
    <xf numFmtId="0" fontId="8" fillId="3" borderId="0" xfId="0" applyFont="1" applyFill="1" applyBorder="1" applyAlignment="1">
      <alignment horizontal="center" wrapText="1"/>
    </xf>
    <xf numFmtId="0" fontId="8" fillId="3" borderId="1" xfId="0" applyFont="1" applyFill="1" applyBorder="1" applyAlignment="1">
      <alignment horizontal="center" wrapText="1"/>
    </xf>
    <xf numFmtId="9" fontId="0" fillId="3" borderId="4" xfId="1" applyFont="1" applyFill="1" applyBorder="1" applyAlignment="1" applyProtection="1">
      <alignment horizontal="left"/>
      <protection locked="0"/>
    </xf>
    <xf numFmtId="0" fontId="0" fillId="6" borderId="7" xfId="0" applyFill="1" applyBorder="1" applyAlignment="1">
      <alignment horizontal="left" wrapText="1"/>
    </xf>
    <xf numFmtId="0" fontId="0" fillId="6" borderId="1" xfId="0" applyFill="1" applyBorder="1" applyAlignment="1">
      <alignment horizontal="left" wrapText="1"/>
    </xf>
  </cellXfs>
  <cellStyles count="3">
    <cellStyle name="Link" xfId="2" builtinId="8"/>
    <cellStyle name="Prozent" xfId="1" builtinId="5"/>
    <cellStyle name="Standard" xfId="0" builtinId="0"/>
  </cellStyles>
  <dxfs count="10">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CheckBox" fmlaLink="$A$14" lockText="1" noThreeD="1"/>
</file>

<file path=xl/ctrlProps/ctrlProp4.xml><?xml version="1.0" encoding="utf-8"?>
<formControlPr xmlns="http://schemas.microsoft.com/office/spreadsheetml/2009/9/main" objectType="Radio" checked="Checked" firstButton="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Tabelle2!$B$18" lockText="1" noThreeD="1"/>
</file>

<file path=xl/ctrlProps/ctrlProp9.xml><?xml version="1.0" encoding="utf-8"?>
<formControlPr xmlns="http://schemas.microsoft.com/office/spreadsheetml/2009/9/main" objectType="CheckBox" checked="Checked" fmlaLink="Tabelle2!$C$18" lockText="1" noThreeD="1"/>
</file>

<file path=xl/ctrlProps/ctrlProp10.xml><?xml version="1.0" encoding="utf-8"?>
<formControlPr xmlns="http://schemas.microsoft.com/office/spreadsheetml/2009/9/main" objectType="CheckBox" checked="Checked" fmlaLink="Tabelle2!$D$18" lockText="1" noThreeD="1"/>
</file>

<file path=xl/ctrlProps/ctrlProp11.xml><?xml version="1.0" encoding="utf-8"?>
<formControlPr xmlns="http://schemas.microsoft.com/office/spreadsheetml/2009/9/main" objectType="CheckBox" checked="Checked" fmlaLink="Tabelle2!$E$18" lockText="1" noThreeD="1"/>
</file>

<file path=xl/ctrlProps/ctrlProp12.xml><?xml version="1.0" encoding="utf-8"?>
<formControlPr xmlns="http://schemas.microsoft.com/office/spreadsheetml/2009/9/main" objectType="CheckBox" checked="Checked" fmlaLink="Tabelle2!$A$18" lockText="1" noThreeD="1"/>
</file>

<file path=xl/ctrlProps/ctrlProp13.xml><?xml version="1.0" encoding="utf-8"?>
<formControlPr xmlns="http://schemas.microsoft.com/office/spreadsheetml/2009/9/main" objectType="CheckBox" checked="Checked" fmlaLink="Tabelle2!$D$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171450</xdr:rowOff>
        </xdr:from>
        <xdr:to>
          <xdr:col>2</xdr:col>
          <xdr:colOff>38100</xdr:colOff>
          <xdr:row>4</xdr:row>
          <xdr:rowOff>180975</xdr:rowOff>
        </xdr:to>
        <xdr:sp macro="" textlink="">
          <xdr:nvSpPr>
            <xdr:cNvPr id="1035" name="Group Box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Angaben zur Beschäftigung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1019175</xdr:colOff>
          <xdr:row>1</xdr:row>
          <xdr:rowOff>161925</xdr:rowOff>
        </xdr:from>
        <xdr:to>
          <xdr:col>5</xdr:col>
          <xdr:colOff>0</xdr:colOff>
          <xdr:row>4</xdr:row>
          <xdr:rowOff>180975</xdr:rowOff>
        </xdr:to>
        <xdr:sp macro="" textlink="">
          <xdr:nvSpPr>
            <xdr:cNvPr id="1036" name="Group Box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Umfang der Beschäftigung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11</xdr:row>
          <xdr:rowOff>295275</xdr:rowOff>
        </xdr:from>
        <xdr:to>
          <xdr:col>2</xdr:col>
          <xdr:colOff>1028700</xdr:colOff>
          <xdr:row>13</xdr:row>
          <xdr:rowOff>57150</xdr:rowOff>
        </xdr:to>
        <xdr:sp macro="" textlink="">
          <xdr:nvSpPr>
            <xdr:cNvPr id="1042" name="Check Box 18"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xdr:row>
          <xdr:rowOff>104775</xdr:rowOff>
        </xdr:from>
        <xdr:to>
          <xdr:col>0</xdr:col>
          <xdr:colOff>1000125</xdr:colOff>
          <xdr:row>3</xdr:row>
          <xdr:rowOff>133350</xdr:rowOff>
        </xdr:to>
        <xdr:sp macro="" textlink="">
          <xdr:nvSpPr>
            <xdr:cNvPr id="1062" name="Option Button 38" hidden="1">
              <a:extLst>
                <a:ext uri="{63B3BB69-23CF-44E3-9099-C40C66FF867C}">
                  <a14:compatExt spid="_x0000_s1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Angestellte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152400</xdr:rowOff>
        </xdr:from>
        <xdr:to>
          <xdr:col>2</xdr:col>
          <xdr:colOff>9525</xdr:colOff>
          <xdr:row>4</xdr:row>
          <xdr:rowOff>180975</xdr:rowOff>
        </xdr:to>
        <xdr:sp macro="" textlink="">
          <xdr:nvSpPr>
            <xdr:cNvPr id="1063" name="Option Button 39" hidden="1">
              <a:extLst>
                <a:ext uri="{63B3BB69-23CF-44E3-9099-C40C66FF867C}">
                  <a14:compatExt spid="_x0000_s1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Beamte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57150</xdr:rowOff>
        </xdr:from>
        <xdr:to>
          <xdr:col>3</xdr:col>
          <xdr:colOff>685800</xdr:colOff>
          <xdr:row>3</xdr:row>
          <xdr:rowOff>85725</xdr:rowOff>
        </xdr:to>
        <xdr:sp macro="" textlink="">
          <xdr:nvSpPr>
            <xdr:cNvPr id="1064" name="Option Button 40" hidden="1">
              <a:extLst>
                <a:ext uri="{63B3BB69-23CF-44E3-9099-C40C66FF867C}">
                  <a14:compatExt spid="_x0000_s10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Vollzeit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3</xdr:row>
          <xdr:rowOff>66675</xdr:rowOff>
        </xdr:from>
        <xdr:to>
          <xdr:col>4</xdr:col>
          <xdr:colOff>933450</xdr:colOff>
          <xdr:row>4</xdr:row>
          <xdr:rowOff>104775</xdr:rowOff>
        </xdr:to>
        <xdr:sp macro="" textlink="">
          <xdr:nvSpPr>
            <xdr:cNvPr id="1065" name="Option Button 41" hidden="1">
              <a:extLst>
                <a:ext uri="{63B3BB69-23CF-44E3-9099-C40C66FF867C}">
                  <a14:compatExt spid="_x0000_s10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Teilzeit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15</xdr:row>
          <xdr:rowOff>0</xdr:rowOff>
        </xdr:from>
        <xdr:to>
          <xdr:col>4</xdr:col>
          <xdr:colOff>209550</xdr:colOff>
          <xdr:row>15</xdr:row>
          <xdr:rowOff>161925</xdr:rowOff>
        </xdr:to>
        <xdr:sp macro="" textlink="">
          <xdr:nvSpPr>
            <xdr:cNvPr id="1067" name="Check Box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15</xdr:row>
          <xdr:rowOff>0</xdr:rowOff>
        </xdr:from>
        <xdr:to>
          <xdr:col>6</xdr:col>
          <xdr:colOff>209550</xdr:colOff>
          <xdr:row>15</xdr:row>
          <xdr:rowOff>161925</xdr:rowOff>
        </xdr:to>
        <xdr:sp macro="" textlink="">
          <xdr:nvSpPr>
            <xdr:cNvPr id="1068" name="Check Box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15</xdr:row>
          <xdr:rowOff>0</xdr:rowOff>
        </xdr:from>
        <xdr:to>
          <xdr:col>8</xdr:col>
          <xdr:colOff>209550</xdr:colOff>
          <xdr:row>15</xdr:row>
          <xdr:rowOff>161925</xdr:rowOff>
        </xdr:to>
        <xdr:sp macro="" textlink="">
          <xdr:nvSpPr>
            <xdr:cNvPr id="1069" name="Check Box 45" hidden="1">
              <a:extLst>
                <a:ext uri="{63B3BB69-23CF-44E3-9099-C40C66FF867C}">
                  <a14:compatExt spid="_x0000_s1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295275</xdr:colOff>
          <xdr:row>15</xdr:row>
          <xdr:rowOff>0</xdr:rowOff>
        </xdr:from>
        <xdr:to>
          <xdr:col>10</xdr:col>
          <xdr:colOff>209550</xdr:colOff>
          <xdr:row>15</xdr:row>
          <xdr:rowOff>161925</xdr:rowOff>
        </xdr:to>
        <xdr:sp macro="" textlink="">
          <xdr:nvSpPr>
            <xdr:cNvPr id="1070" name="Check Box 46" hidden="1">
              <a:extLst>
                <a:ext uri="{63B3BB69-23CF-44E3-9099-C40C66FF867C}">
                  <a14:compatExt spid="_x0000_s1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14</xdr:row>
          <xdr:rowOff>161925</xdr:rowOff>
        </xdr:from>
        <xdr:to>
          <xdr:col>1</xdr:col>
          <xdr:colOff>561975</xdr:colOff>
          <xdr:row>16</xdr:row>
          <xdr:rowOff>0</xdr:rowOff>
        </xdr:to>
        <xdr:sp macro="" textlink="">
          <xdr:nvSpPr>
            <xdr:cNvPr id="1071" name="Check Box 47" hidden="1">
              <a:extLst>
                <a:ext uri="{63B3BB69-23CF-44E3-9099-C40C66FF867C}">
                  <a14:compatExt spid="_x0000_s1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15</xdr:row>
          <xdr:rowOff>0</xdr:rowOff>
        </xdr:from>
        <xdr:to>
          <xdr:col>8</xdr:col>
          <xdr:colOff>209550</xdr:colOff>
          <xdr:row>15</xdr:row>
          <xdr:rowOff>161925</xdr:rowOff>
        </xdr:to>
        <xdr:sp macro="" textlink="">
          <xdr:nvSpPr>
            <xdr:cNvPr id="1075" name="Check Box 51" hidden="1">
              <a:extLst>
                <a:ext uri="{63B3BB69-23CF-44E3-9099-C40C66FF867C}">
                  <a14:compatExt spid="_x0000_s1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dezv.uni-mannheim.de/intranet/dv_zeiterfassung/DV-Arbeitszeit.pdf"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K76"/>
  <sheetViews>
    <sheetView tabSelected="1" view="pageLayout" zoomScaleNormal="100" workbookViewId="0">
      <selection activeCell="H2" sqref="H2:I3"/>
    </sheetView>
  </sheetViews>
  <sheetFormatPr baseColWidth="10" defaultRowHeight="15" x14ac:dyDescent="0.25"/>
  <cols>
    <col min="1" max="1" width="15.28515625" customWidth="1"/>
    <col min="3" max="3" width="14.7109375" customWidth="1"/>
    <col min="5" max="5" width="14.42578125" customWidth="1"/>
    <col min="7" max="7" width="14.85546875" customWidth="1"/>
    <col min="9" max="9" width="14.5703125" customWidth="1"/>
  </cols>
  <sheetData>
    <row r="1" spans="1:11" x14ac:dyDescent="0.25">
      <c r="A1" s="12"/>
      <c r="B1" s="4"/>
      <c r="C1" s="4"/>
      <c r="D1" s="4"/>
      <c r="E1" s="49" t="s">
        <v>40</v>
      </c>
      <c r="F1" s="4"/>
      <c r="G1" s="4"/>
      <c r="H1" s="4"/>
      <c r="I1" s="4"/>
      <c r="J1" s="4"/>
    </row>
    <row r="2" spans="1:11" x14ac:dyDescent="0.25">
      <c r="A2" s="12"/>
      <c r="B2" s="31" t="s">
        <v>29</v>
      </c>
      <c r="C2" s="4"/>
      <c r="D2" s="4"/>
      <c r="E2" s="32" t="s">
        <v>38</v>
      </c>
      <c r="F2" s="4"/>
      <c r="G2" s="32" t="s">
        <v>39</v>
      </c>
      <c r="H2" s="106"/>
      <c r="I2" s="107"/>
      <c r="J2" s="20"/>
    </row>
    <row r="3" spans="1:11" x14ac:dyDescent="0.25">
      <c r="A3" s="20"/>
      <c r="B3" s="20"/>
      <c r="C3" s="4"/>
      <c r="D3" s="20"/>
      <c r="E3" s="20"/>
      <c r="F3" s="97" t="s">
        <v>0</v>
      </c>
      <c r="G3" s="97"/>
      <c r="H3" s="108"/>
      <c r="I3" s="108"/>
      <c r="J3" s="7"/>
    </row>
    <row r="4" spans="1:11" x14ac:dyDescent="0.25">
      <c r="A4" s="20"/>
      <c r="B4" s="20"/>
      <c r="C4" s="4"/>
      <c r="D4" s="20"/>
      <c r="E4" s="20"/>
      <c r="F4" s="9"/>
      <c r="G4" s="9"/>
      <c r="H4" s="109"/>
      <c r="I4" s="110"/>
      <c r="J4" s="7"/>
    </row>
    <row r="5" spans="1:11" x14ac:dyDescent="0.25">
      <c r="A5" s="20"/>
      <c r="B5" s="20"/>
      <c r="C5" s="4"/>
      <c r="D5" s="20"/>
      <c r="E5" s="20"/>
      <c r="F5" s="97" t="s">
        <v>1</v>
      </c>
      <c r="G5" s="97"/>
      <c r="H5" s="100"/>
      <c r="I5" s="100"/>
      <c r="J5" s="7"/>
    </row>
    <row r="6" spans="1:11" x14ac:dyDescent="0.25">
      <c r="A6" s="81" t="s">
        <v>11</v>
      </c>
      <c r="B6" s="87"/>
      <c r="C6" s="87"/>
      <c r="D6" s="87"/>
      <c r="E6" s="4"/>
      <c r="F6" s="9"/>
      <c r="G6" s="9"/>
      <c r="H6" s="7"/>
      <c r="I6" s="7"/>
      <c r="J6" s="7"/>
    </row>
    <row r="7" spans="1:11" ht="15" customHeight="1" x14ac:dyDescent="0.25">
      <c r="A7" s="82"/>
      <c r="B7" s="87"/>
      <c r="C7" s="87"/>
      <c r="D7" s="87"/>
      <c r="E7" s="4"/>
      <c r="F7" s="98" t="s">
        <v>16</v>
      </c>
      <c r="G7" s="98"/>
      <c r="H7" s="99"/>
      <c r="I7" s="99"/>
      <c r="J7" s="7"/>
    </row>
    <row r="8" spans="1:11" ht="15" customHeight="1" x14ac:dyDescent="0.25">
      <c r="A8" s="81" t="s">
        <v>33</v>
      </c>
      <c r="B8" s="87"/>
      <c r="C8" s="87"/>
      <c r="D8" s="87"/>
      <c r="E8" s="4"/>
      <c r="F8" s="98"/>
      <c r="G8" s="98"/>
      <c r="H8" s="100"/>
      <c r="I8" s="100"/>
      <c r="J8" s="7"/>
    </row>
    <row r="9" spans="1:11" x14ac:dyDescent="0.25">
      <c r="A9" s="82"/>
      <c r="B9" s="87"/>
      <c r="C9" s="87"/>
      <c r="D9" s="87"/>
      <c r="E9" s="4"/>
      <c r="F9" s="7"/>
      <c r="G9" s="103" t="s">
        <v>2</v>
      </c>
      <c r="H9" s="103"/>
      <c r="I9" s="103"/>
      <c r="J9" s="29"/>
    </row>
    <row r="10" spans="1:11" ht="27" customHeight="1" thickBot="1" x14ac:dyDescent="0.3">
      <c r="A10" s="39" t="s">
        <v>35</v>
      </c>
      <c r="B10" s="113"/>
      <c r="C10" s="113"/>
      <c r="D10" s="113"/>
      <c r="E10" s="4"/>
      <c r="F10" s="7"/>
      <c r="G10" s="7"/>
      <c r="H10" s="10"/>
      <c r="I10" s="10"/>
      <c r="J10" s="7"/>
    </row>
    <row r="11" spans="1:11" ht="31.5" customHeight="1" thickBot="1" x14ac:dyDescent="0.3">
      <c r="A11" s="114" t="s">
        <v>26</v>
      </c>
      <c r="B11" s="115"/>
      <c r="C11" s="71" t="s">
        <v>34</v>
      </c>
      <c r="D11" s="72">
        <f>C11/Tabelle2!B13</f>
        <v>1</v>
      </c>
      <c r="E11" s="35" t="s">
        <v>31</v>
      </c>
      <c r="F11" s="13" t="str">
        <f>IF(D11&gt;90%,"ist festgelegt",Tabelle2!$D$2/24)</f>
        <v>ist festgelegt</v>
      </c>
      <c r="G11" s="101" t="str">
        <f>IF(F11="ist festgelegt","","Std. / Minuten / Tag")</f>
        <v/>
      </c>
      <c r="H11" s="102"/>
      <c r="I11" s="104" t="s">
        <v>30</v>
      </c>
      <c r="J11" s="105"/>
      <c r="K11" s="52"/>
    </row>
    <row r="12" spans="1:11" ht="25.5" customHeight="1" thickBot="1" x14ac:dyDescent="0.3">
      <c r="A12" s="17" t="s">
        <v>27</v>
      </c>
      <c r="B12" s="37"/>
      <c r="C12" s="43">
        <f>COUNTIF(Tabelle2!A18:E18,"WAHR")</f>
        <v>5</v>
      </c>
      <c r="D12" s="6"/>
      <c r="F12" s="8" t="str">
        <f t="array" ref="F12">IF(AND($A$14=TRUE,E14:I14=""),"Weitere Profile für abweichende Verteilung einreichen !","")</f>
        <v/>
      </c>
      <c r="G12" s="7"/>
      <c r="H12" s="7"/>
      <c r="I12" s="7"/>
      <c r="J12" s="20"/>
      <c r="K12" s="53"/>
    </row>
    <row r="13" spans="1:11" ht="15.75" thickBot="1" x14ac:dyDescent="0.3">
      <c r="A13" s="40" t="s">
        <v>32</v>
      </c>
      <c r="B13" s="18"/>
      <c r="C13" s="38"/>
      <c r="D13" s="111" t="str">
        <f>IF(A14=TRUE,"gültig für Woche (x):","")</f>
        <v/>
      </c>
      <c r="E13" s="5" t="str">
        <f>IF($A$14=TRUE,"1. Woche","")</f>
        <v/>
      </c>
      <c r="F13" s="5" t="str">
        <f>IF($A$14=TRUE,"2. Woche","")</f>
        <v/>
      </c>
      <c r="G13" s="5" t="str">
        <f>IF($A$14=TRUE,"3. Woche","")</f>
        <v/>
      </c>
      <c r="H13" s="5" t="str">
        <f>IF($A$14=TRUE,"4. Woche","")</f>
        <v/>
      </c>
      <c r="I13" s="5" t="str">
        <f>IF($A$14=TRUE,"5. Woche","")</f>
        <v/>
      </c>
      <c r="J13" s="20"/>
      <c r="K13" s="52"/>
    </row>
    <row r="14" spans="1:11" ht="15.75" thickBot="1" x14ac:dyDescent="0.3">
      <c r="A14" s="25" t="b">
        <v>0</v>
      </c>
      <c r="B14" s="19"/>
      <c r="C14" s="14"/>
      <c r="D14" s="112"/>
      <c r="E14" s="22"/>
      <c r="F14" s="23"/>
      <c r="G14" s="22"/>
      <c r="H14" s="22"/>
      <c r="I14" s="22"/>
      <c r="J14" s="20"/>
    </row>
    <row r="15" spans="1:11" x14ac:dyDescent="0.25">
      <c r="A15" s="83" t="str">
        <f>IF(OR($F$11="ist festgelegt",Tabelle2!A18=FALSE),"8.)",IF(($F$11-0.009)-(B19-B17)&gt;0,"8.) Kernzeit pro Tag",""))</f>
        <v>8.)</v>
      </c>
      <c r="B15" s="41" t="s">
        <v>3</v>
      </c>
      <c r="C15" s="85" t="str">
        <f>IF(OR($F$11="ist festgelegt",Tabelle2!B18=FALSE),"",IF(($F$11-0.009)-(D19-D17)&gt;0.01,"Kernzeit pro Tag",""))</f>
        <v/>
      </c>
      <c r="D15" s="41" t="s">
        <v>4</v>
      </c>
      <c r="E15" s="85" t="str">
        <f>IF(OR($F$11="ist festgelegt",Tabelle2!C18=FALSE),"",IF(($F$11-0.009)-(F19-F17)&gt;0,"Kernzeit pro Tag",""))</f>
        <v/>
      </c>
      <c r="F15" s="42" t="s">
        <v>5</v>
      </c>
      <c r="G15" s="85" t="str">
        <f>IF(OR($F$11="ist festgelegt",Tabelle2!D18=FALSE),"",IF(($F$11-0.009)-(H19-H17)&gt;0,"Kernzeit pro Tag",""))</f>
        <v/>
      </c>
      <c r="H15" s="42" t="s">
        <v>6</v>
      </c>
      <c r="I15" s="85" t="str">
        <f>IF(OR($F$11="ist festgelegt",Tabelle2!E18=FALSE),"",IF(($F$11-0.009)-(J19-J17)&gt;0,"Kernzeit pro Tag",""))</f>
        <v/>
      </c>
      <c r="J15" s="41" t="s">
        <v>7</v>
      </c>
      <c r="K15" s="11"/>
    </row>
    <row r="16" spans="1:11" x14ac:dyDescent="0.25">
      <c r="A16" s="84"/>
      <c r="B16" s="48"/>
      <c r="C16" s="86"/>
      <c r="D16" s="48"/>
      <c r="E16" s="86"/>
      <c r="F16" s="48"/>
      <c r="G16" s="86"/>
      <c r="H16" s="48"/>
      <c r="I16" s="86"/>
      <c r="J16" s="48"/>
      <c r="K16" s="11"/>
    </row>
    <row r="17" spans="1:11" x14ac:dyDescent="0.25">
      <c r="A17" s="1" t="s">
        <v>8</v>
      </c>
      <c r="B17" s="89">
        <v>0.41666666666666669</v>
      </c>
      <c r="C17" s="1" t="s">
        <v>8</v>
      </c>
      <c r="D17" s="78">
        <v>0.41666666666666669</v>
      </c>
      <c r="E17" s="1" t="s">
        <v>8</v>
      </c>
      <c r="F17" s="78">
        <v>0.41666666666666669</v>
      </c>
      <c r="G17" s="1" t="s">
        <v>8</v>
      </c>
      <c r="H17" s="78">
        <v>0.41666666666666669</v>
      </c>
      <c r="I17" s="1" t="s">
        <v>8</v>
      </c>
      <c r="J17" s="78">
        <v>0.41666666666666669</v>
      </c>
      <c r="K17" s="11"/>
    </row>
    <row r="18" spans="1:11" x14ac:dyDescent="0.25">
      <c r="A18" s="2"/>
      <c r="B18" s="90"/>
      <c r="C18" s="2"/>
      <c r="D18" s="79"/>
      <c r="E18" s="2"/>
      <c r="F18" s="79"/>
      <c r="G18" s="2"/>
      <c r="H18" s="79"/>
      <c r="I18" s="2"/>
      <c r="J18" s="79"/>
    </row>
    <row r="19" spans="1:11" x14ac:dyDescent="0.25">
      <c r="A19" s="1" t="s">
        <v>9</v>
      </c>
      <c r="B19" s="78">
        <v>0.625</v>
      </c>
      <c r="C19" s="1" t="s">
        <v>9</v>
      </c>
      <c r="D19" s="78">
        <v>0.625</v>
      </c>
      <c r="E19" s="1" t="s">
        <v>9</v>
      </c>
      <c r="F19" s="78">
        <v>0.625</v>
      </c>
      <c r="G19" s="1" t="s">
        <v>9</v>
      </c>
      <c r="H19" s="78">
        <v>0.625</v>
      </c>
      <c r="I19" s="1" t="s">
        <v>9</v>
      </c>
      <c r="J19" s="78">
        <v>0.5</v>
      </c>
    </row>
    <row r="20" spans="1:11" x14ac:dyDescent="0.25">
      <c r="A20" s="2"/>
      <c r="B20" s="79"/>
      <c r="C20" s="2"/>
      <c r="D20" s="79"/>
      <c r="E20" s="2"/>
      <c r="F20" s="79"/>
      <c r="G20" s="2"/>
      <c r="H20" s="79"/>
      <c r="I20" s="2"/>
      <c r="J20" s="79"/>
    </row>
    <row r="21" spans="1:11" x14ac:dyDescent="0.25">
      <c r="A21" s="94" t="s">
        <v>10</v>
      </c>
      <c r="B21" s="24">
        <v>0.47916666666666669</v>
      </c>
      <c r="C21" s="94" t="s">
        <v>10</v>
      </c>
      <c r="D21" s="24">
        <v>0.47916666666666669</v>
      </c>
      <c r="E21" s="94" t="s">
        <v>10</v>
      </c>
      <c r="F21" s="24">
        <v>0.47916666666666669</v>
      </c>
      <c r="G21" s="94" t="s">
        <v>10</v>
      </c>
      <c r="H21" s="24">
        <v>0.47916666666666669</v>
      </c>
      <c r="I21" s="94" t="s">
        <v>10</v>
      </c>
      <c r="J21" s="24">
        <v>0.47916666666666669</v>
      </c>
    </row>
    <row r="22" spans="1:11" x14ac:dyDescent="0.25">
      <c r="A22" s="95"/>
      <c r="B22" s="24">
        <v>0.58333333333333337</v>
      </c>
      <c r="C22" s="95"/>
      <c r="D22" s="24">
        <v>0.58333333333333337</v>
      </c>
      <c r="E22" s="95"/>
      <c r="F22" s="24">
        <v>0.58333333333333337</v>
      </c>
      <c r="G22" s="95"/>
      <c r="H22" s="24">
        <v>0.58333333333333337</v>
      </c>
      <c r="I22" s="95"/>
      <c r="J22" s="24"/>
    </row>
    <row r="23" spans="1:11" ht="45.75" thickBot="1" x14ac:dyDescent="0.3">
      <c r="A23" s="3" t="s">
        <v>24</v>
      </c>
      <c r="B23" s="27">
        <v>7.9</v>
      </c>
      <c r="C23" s="3" t="s">
        <v>24</v>
      </c>
      <c r="D23" s="27">
        <v>7.9</v>
      </c>
      <c r="E23" s="3" t="s">
        <v>24</v>
      </c>
      <c r="F23" s="27">
        <v>7.9</v>
      </c>
      <c r="G23" s="3" t="s">
        <v>24</v>
      </c>
      <c r="H23" s="27">
        <v>7.9</v>
      </c>
      <c r="I23" s="3" t="s">
        <v>24</v>
      </c>
      <c r="J23" s="27">
        <v>7.9</v>
      </c>
      <c r="K23" s="11"/>
    </row>
    <row r="24" spans="1:11" ht="15" customHeight="1" x14ac:dyDescent="0.25">
      <c r="A24" s="36"/>
      <c r="B24" s="28" t="str">
        <f>IF(B23&lt;Tabelle2!A19,"Fehler AZ",IF(OR($D$11=100%,Tabelle2!A18=FALSE),"",IF(AND((($B$23+$D$23+$F$23+$H$23+$J$23)-$C$11)&lt;=0.005,(($B$23+$D$23+$F$23+$H$23+$J$23)-$C$11)&gt;=-0.005),"",Tabelle2!$C$13)))</f>
        <v/>
      </c>
      <c r="C24" s="36"/>
      <c r="D24" s="28" t="str">
        <f>IF(D23&lt;Tabelle2!B19,"Fehler AZ",IF(OR($D$11=100%,Tabelle2!B18=FALSE),"",IF(AND((($B$23+$D$23+$F$23+$H$23+$J$23)-$C$11)&lt;=0.005,(($B$23+$D$23+$F$23+$H$23+$J$23)-$C$11)&gt;=-0.005),"",Tabelle2!$C$13)))</f>
        <v/>
      </c>
      <c r="E24" s="36"/>
      <c r="F24" s="28" t="str">
        <f>IF(F23&lt;Tabelle2!C19,"Fehler AZ",IF(OR($D$11=100%,Tabelle2!C18=FALSE),"",IF(AND((($B$23+$D$23+$F$23+$H$23+$J$23)-$C$11)&lt;=0.005,(($B$23+$D$23+$F$23+$H$23+$J$23)-$C$11)&gt;=-0.005),"",Tabelle2!$C$13)))</f>
        <v/>
      </c>
      <c r="G24" s="4"/>
      <c r="H24" s="28" t="str">
        <f>IF(H23&lt;Tabelle2!D19,"Fehler AZ",IF(OR($D$11=100%,Tabelle2!D18=FALSE),"",IF(AND((($B$23+$D$23+$F$23+$H$23+$J$23)-$C$11)&lt;=0.005,(($B$23+$D$23+$F$23+$H$23+$J$23)-$C$11)&gt;=-0.005),"",Tabelle2!$C$13)))</f>
        <v/>
      </c>
      <c r="I24" s="36"/>
      <c r="J24" s="28" t="str">
        <f>IF(J23&lt;Tabelle2!E19,"Fehler AZ",IF(OR($D$11=100%,Tabelle2!E18=FALSE),"",IF(AND((($B$23+$D$23+$F$23+$H$23+$J$23)-$C$11)&lt;=0.005,(($B$23+$D$23+$F$23+$H$23+$J$23)-$C$11)&gt;=-0.005),"",Tabelle2!$C$13)))</f>
        <v/>
      </c>
    </row>
    <row r="25" spans="1:11" ht="15" customHeight="1" x14ac:dyDescent="0.25">
      <c r="A25" s="88" t="str">
        <f>IF(B24="","",IF(B24="Fehler AZ","Sollzeit &lt; Kernzeit","noch zu verteilen"))</f>
        <v/>
      </c>
      <c r="B25" s="88"/>
      <c r="C25" s="88" t="str">
        <f>IF(D24="","",IF(D24="Fehler AZ","Sollzeit &lt; Kernzeit","noch zu verteilen"))</f>
        <v/>
      </c>
      <c r="D25" s="88"/>
      <c r="E25" s="88" t="str">
        <f>IF(F24="","",IF(F24="Fehler AZ","Sollzeit &lt; Kernzeit","noch zu verteilen"))</f>
        <v/>
      </c>
      <c r="F25" s="88"/>
      <c r="G25" s="88" t="str">
        <f>IF(H24="","",IF(H24="Fehler AZ","Sollzeit &lt; Kernzeit","noch zu verteilen"))</f>
        <v/>
      </c>
      <c r="H25" s="88"/>
      <c r="I25" s="88" t="str">
        <f>IF(J24="","",IF(J24="Fehler AZ","Sollzeit &lt; Kernzeit","noch zu verteilen"))</f>
        <v/>
      </c>
      <c r="J25" s="88"/>
    </row>
    <row r="26" spans="1:11" x14ac:dyDescent="0.25">
      <c r="A26" s="4" t="s">
        <v>19</v>
      </c>
      <c r="B26" s="4"/>
      <c r="C26" s="4"/>
      <c r="D26" s="4"/>
      <c r="E26" s="4"/>
      <c r="F26" s="4"/>
      <c r="G26" s="4"/>
      <c r="H26" s="4" t="s">
        <v>17</v>
      </c>
      <c r="I26" s="4"/>
      <c r="J26" s="4"/>
    </row>
    <row r="27" spans="1:11" x14ac:dyDescent="0.25">
      <c r="A27" s="4" t="s">
        <v>18</v>
      </c>
      <c r="B27" s="4"/>
      <c r="C27" s="4"/>
      <c r="D27" s="4"/>
      <c r="E27" s="4"/>
      <c r="F27" s="4"/>
      <c r="G27" s="4"/>
      <c r="H27" s="15" t="s">
        <v>37</v>
      </c>
      <c r="I27" s="4"/>
      <c r="J27" s="4"/>
    </row>
    <row r="28" spans="1:11" x14ac:dyDescent="0.25">
      <c r="A28" s="4"/>
      <c r="B28" s="4"/>
      <c r="C28" s="4"/>
      <c r="D28" s="15" t="s">
        <v>20</v>
      </c>
      <c r="E28" s="4"/>
      <c r="F28" s="4"/>
      <c r="G28" s="4"/>
      <c r="H28" s="4"/>
      <c r="I28" s="4"/>
      <c r="J28" s="4"/>
    </row>
    <row r="29" spans="1:11" x14ac:dyDescent="0.25">
      <c r="A29" s="4"/>
      <c r="B29" s="4"/>
      <c r="C29" s="96" t="s">
        <v>36</v>
      </c>
      <c r="D29" s="96"/>
      <c r="E29" s="96"/>
      <c r="F29" s="96"/>
      <c r="G29" s="4"/>
      <c r="H29" s="4"/>
      <c r="I29" s="4"/>
      <c r="J29" s="4"/>
    </row>
    <row r="30" spans="1:11" x14ac:dyDescent="0.25">
      <c r="A30" s="50" t="s">
        <v>41</v>
      </c>
      <c r="B30" s="4"/>
      <c r="C30" s="4"/>
      <c r="D30" s="15"/>
      <c r="E30" s="4"/>
      <c r="F30" s="4"/>
      <c r="G30" s="4"/>
      <c r="H30" s="4"/>
      <c r="I30" s="4"/>
      <c r="J30" s="4"/>
    </row>
    <row r="31" spans="1:11" x14ac:dyDescent="0.25">
      <c r="A31" s="4" t="s">
        <v>44</v>
      </c>
      <c r="B31" s="4"/>
      <c r="C31" s="4"/>
      <c r="D31" s="15"/>
      <c r="E31" s="4"/>
      <c r="F31" s="4"/>
      <c r="G31" s="4"/>
      <c r="H31" s="4"/>
      <c r="I31" s="4"/>
      <c r="J31" s="4"/>
    </row>
    <row r="32" spans="1:11" x14ac:dyDescent="0.25">
      <c r="A32" s="4" t="s">
        <v>45</v>
      </c>
      <c r="B32" s="4"/>
      <c r="C32" s="4"/>
      <c r="D32" s="15"/>
      <c r="E32" s="4"/>
      <c r="F32" s="4"/>
      <c r="G32" s="4"/>
      <c r="H32" s="4"/>
      <c r="I32" s="4"/>
      <c r="J32" s="4"/>
    </row>
    <row r="33" spans="1:10" x14ac:dyDescent="0.25">
      <c r="A33" s="4" t="s">
        <v>46</v>
      </c>
      <c r="B33" s="4"/>
      <c r="C33" s="4"/>
      <c r="D33" s="15"/>
      <c r="E33" s="4"/>
      <c r="F33" s="4"/>
      <c r="G33" s="4"/>
      <c r="H33" s="4"/>
      <c r="I33" s="4"/>
      <c r="J33" s="4"/>
    </row>
    <row r="34" spans="1:10" ht="28.5" customHeight="1" x14ac:dyDescent="0.25">
      <c r="A34" s="92" t="s">
        <v>42</v>
      </c>
      <c r="B34" s="92"/>
      <c r="C34" s="92"/>
      <c r="D34" s="92"/>
      <c r="E34" s="92"/>
      <c r="F34" s="92"/>
      <c r="G34" s="92"/>
      <c r="H34" s="92"/>
      <c r="I34" s="92"/>
      <c r="J34" s="92"/>
    </row>
    <row r="35" spans="1:10" x14ac:dyDescent="0.25">
      <c r="A35" s="4" t="s">
        <v>47</v>
      </c>
      <c r="B35" s="4"/>
      <c r="C35" s="4"/>
      <c r="D35" s="15"/>
      <c r="E35" s="4"/>
      <c r="F35" s="4"/>
      <c r="G35" s="4"/>
      <c r="H35" s="4"/>
      <c r="I35" s="4"/>
      <c r="J35" s="4"/>
    </row>
    <row r="36" spans="1:10" x14ac:dyDescent="0.25">
      <c r="A36" s="51" t="s">
        <v>43</v>
      </c>
      <c r="B36" s="7"/>
      <c r="C36" s="7"/>
      <c r="D36" s="7"/>
      <c r="E36" s="7"/>
      <c r="F36" s="7"/>
      <c r="G36" s="10"/>
      <c r="H36" s="7"/>
      <c r="I36" s="7"/>
      <c r="J36" s="7"/>
    </row>
    <row r="37" spans="1:10" ht="45.75" customHeight="1" x14ac:dyDescent="0.25">
      <c r="A37" s="93" t="s">
        <v>48</v>
      </c>
      <c r="B37" s="93"/>
      <c r="C37" s="93"/>
      <c r="D37" s="93"/>
      <c r="E37" s="93"/>
      <c r="F37" s="93"/>
      <c r="G37" s="93"/>
      <c r="H37" s="93"/>
      <c r="I37" s="93"/>
      <c r="J37" s="93"/>
    </row>
    <row r="38" spans="1:10" ht="15" customHeight="1" x14ac:dyDescent="0.25">
      <c r="A38" s="74" t="s">
        <v>49</v>
      </c>
      <c r="B38" s="74"/>
      <c r="C38" s="74"/>
      <c r="D38" s="74"/>
      <c r="E38" s="74"/>
      <c r="F38" s="74"/>
      <c r="G38" s="74"/>
      <c r="H38" s="74"/>
      <c r="I38" s="74"/>
      <c r="J38" s="74"/>
    </row>
    <row r="39" spans="1:10" x14ac:dyDescent="0.25">
      <c r="A39" s="74"/>
      <c r="B39" s="74"/>
      <c r="C39" s="74"/>
      <c r="D39" s="74"/>
      <c r="E39" s="74"/>
      <c r="F39" s="74"/>
      <c r="G39" s="74"/>
      <c r="H39" s="74"/>
      <c r="I39" s="74"/>
      <c r="J39" s="74"/>
    </row>
    <row r="40" spans="1:10" x14ac:dyDescent="0.25">
      <c r="A40" s="74"/>
      <c r="B40" s="74"/>
      <c r="C40" s="74"/>
      <c r="D40" s="74"/>
      <c r="E40" s="74"/>
      <c r="F40" s="74"/>
      <c r="G40" s="74"/>
      <c r="H40" s="74"/>
      <c r="I40" s="74"/>
      <c r="J40" s="74"/>
    </row>
    <row r="41" spans="1:10" x14ac:dyDescent="0.25">
      <c r="A41" s="93" t="s">
        <v>50</v>
      </c>
      <c r="B41" s="93"/>
      <c r="C41" s="93"/>
      <c r="D41" s="93"/>
      <c r="E41" s="93"/>
      <c r="F41" s="93"/>
      <c r="G41" s="93"/>
      <c r="H41" s="93"/>
      <c r="I41" s="93"/>
      <c r="J41" s="93"/>
    </row>
    <row r="42" spans="1:10" ht="13.5" customHeight="1" x14ac:dyDescent="0.25">
      <c r="A42" s="93"/>
      <c r="B42" s="93"/>
      <c r="C42" s="93"/>
      <c r="D42" s="93"/>
      <c r="E42" s="93"/>
      <c r="F42" s="93"/>
      <c r="G42" s="93"/>
      <c r="H42" s="93"/>
      <c r="I42" s="93"/>
      <c r="J42" s="93"/>
    </row>
    <row r="43" spans="1:10" ht="15.75" thickBot="1" x14ac:dyDescent="0.3">
      <c r="A43" s="30"/>
      <c r="B43" s="30"/>
      <c r="C43" s="30"/>
      <c r="D43" s="30"/>
      <c r="E43" s="30"/>
      <c r="F43" s="73"/>
      <c r="G43" s="30"/>
      <c r="H43" s="30"/>
      <c r="I43" s="30"/>
      <c r="J43" s="30"/>
    </row>
    <row r="44" spans="1:10" ht="43.5" customHeight="1" thickBot="1" x14ac:dyDescent="0.3">
      <c r="A44" s="75" t="s">
        <v>51</v>
      </c>
      <c r="B44" s="76"/>
      <c r="C44" s="76"/>
      <c r="D44" s="76"/>
      <c r="E44" s="76"/>
      <c r="F44" s="76"/>
      <c r="G44" s="76"/>
      <c r="H44" s="76"/>
      <c r="I44" s="76"/>
      <c r="J44" s="77"/>
    </row>
    <row r="45" spans="1:10" x14ac:dyDescent="0.25">
      <c r="A45" s="20"/>
      <c r="B45" s="20"/>
      <c r="C45" s="20"/>
      <c r="D45" s="20"/>
      <c r="E45" s="20"/>
      <c r="F45" s="20"/>
      <c r="G45" s="20"/>
      <c r="H45" s="20"/>
      <c r="I45" s="20"/>
      <c r="J45" s="20"/>
    </row>
    <row r="46" spans="1:10" x14ac:dyDescent="0.25">
      <c r="A46" s="20"/>
      <c r="B46" s="20"/>
      <c r="C46" s="20"/>
      <c r="D46" s="20"/>
      <c r="E46" s="20"/>
      <c r="F46" s="20"/>
      <c r="G46" s="20"/>
      <c r="H46" s="20"/>
      <c r="I46" s="20"/>
      <c r="J46" s="20"/>
    </row>
    <row r="47" spans="1:10" x14ac:dyDescent="0.25">
      <c r="A47" s="4"/>
      <c r="B47" s="4"/>
      <c r="C47" s="4"/>
      <c r="D47" s="4"/>
      <c r="E47" s="4"/>
      <c r="F47" s="4"/>
      <c r="G47" s="4"/>
      <c r="H47" s="4"/>
      <c r="I47" s="4"/>
      <c r="J47" s="4"/>
    </row>
    <row r="48" spans="1:10" ht="16.5" customHeight="1" x14ac:dyDescent="0.25">
      <c r="A48" s="21" t="s">
        <v>21</v>
      </c>
      <c r="B48" s="4"/>
      <c r="C48" s="4"/>
      <c r="D48" s="4"/>
      <c r="E48" s="4"/>
      <c r="F48" s="4" t="s">
        <v>28</v>
      </c>
      <c r="G48" s="4"/>
      <c r="H48" s="4"/>
      <c r="I48" s="4"/>
      <c r="J48" s="4"/>
    </row>
    <row r="49" spans="1:10" ht="15" customHeight="1" x14ac:dyDescent="0.25">
      <c r="A49" s="80" t="s">
        <v>22</v>
      </c>
      <c r="B49" s="80"/>
      <c r="C49" s="80"/>
      <c r="D49" s="80"/>
      <c r="E49" s="80"/>
      <c r="F49" s="91" t="s">
        <v>23</v>
      </c>
      <c r="G49" s="91"/>
      <c r="H49" s="91"/>
      <c r="I49" s="91"/>
      <c r="J49" s="91"/>
    </row>
    <row r="50" spans="1:10" x14ac:dyDescent="0.25">
      <c r="A50" s="4"/>
      <c r="B50" s="4"/>
      <c r="C50" s="4"/>
      <c r="D50" s="4"/>
      <c r="E50" s="16"/>
      <c r="F50" s="91"/>
      <c r="G50" s="91"/>
      <c r="H50" s="91"/>
      <c r="I50" s="91"/>
      <c r="J50" s="91"/>
    </row>
    <row r="51" spans="1:10" ht="18" customHeight="1" x14ac:dyDescent="0.25">
      <c r="A51" s="4"/>
      <c r="B51" s="4"/>
      <c r="C51" s="4"/>
      <c r="D51" s="4"/>
      <c r="E51" s="4"/>
      <c r="F51" s="91"/>
      <c r="G51" s="91"/>
      <c r="H51" s="91"/>
      <c r="I51" s="91"/>
      <c r="J51" s="91"/>
    </row>
    <row r="52" spans="1:10" x14ac:dyDescent="0.25">
      <c r="A52" s="4"/>
      <c r="B52" s="4"/>
      <c r="C52" s="4"/>
      <c r="D52" s="4"/>
      <c r="E52" s="4"/>
      <c r="F52" s="91"/>
      <c r="G52" s="91"/>
      <c r="H52" s="91"/>
      <c r="I52" s="91"/>
      <c r="J52" s="91"/>
    </row>
    <row r="53" spans="1:10" x14ac:dyDescent="0.25">
      <c r="A53" s="4"/>
      <c r="B53" s="4"/>
      <c r="C53" s="4"/>
      <c r="D53" s="4"/>
      <c r="E53" s="4"/>
      <c r="F53" s="91"/>
      <c r="G53" s="91"/>
      <c r="H53" s="91"/>
      <c r="I53" s="91"/>
      <c r="J53" s="91"/>
    </row>
    <row r="54" spans="1:10" x14ac:dyDescent="0.25">
      <c r="A54" s="33"/>
      <c r="B54" s="33"/>
      <c r="C54" s="33"/>
      <c r="D54" s="33"/>
      <c r="E54" s="33"/>
      <c r="F54" s="34"/>
      <c r="G54" s="34"/>
      <c r="H54" s="34"/>
      <c r="I54" s="34"/>
      <c r="J54" s="34"/>
    </row>
    <row r="55" spans="1:10" x14ac:dyDescent="0.25">
      <c r="A55" s="33"/>
      <c r="B55" s="33"/>
      <c r="C55" s="33"/>
      <c r="D55" s="33"/>
      <c r="E55" s="33"/>
      <c r="F55" s="34"/>
      <c r="G55" s="34"/>
      <c r="H55" s="34"/>
      <c r="I55" s="34"/>
      <c r="J55" s="34"/>
    </row>
    <row r="56" spans="1:10" x14ac:dyDescent="0.25">
      <c r="A56" s="33"/>
      <c r="B56" s="33"/>
      <c r="C56" s="33"/>
      <c r="D56" s="33"/>
      <c r="E56" s="33"/>
      <c r="F56" s="33"/>
      <c r="G56" s="33"/>
      <c r="H56" s="33"/>
      <c r="I56" s="33"/>
      <c r="J56" s="33"/>
    </row>
    <row r="57" spans="1:10" x14ac:dyDescent="0.25">
      <c r="A57" s="33"/>
      <c r="B57" s="33"/>
      <c r="C57" s="33"/>
      <c r="D57" s="33"/>
      <c r="E57" s="33"/>
      <c r="F57" s="33"/>
      <c r="G57" s="33"/>
      <c r="H57" s="33"/>
      <c r="I57" s="33"/>
      <c r="J57" s="33"/>
    </row>
    <row r="58" spans="1:10" x14ac:dyDescent="0.25">
      <c r="A58" s="33"/>
      <c r="B58" s="33"/>
      <c r="C58" s="33"/>
      <c r="D58" s="33"/>
      <c r="E58" s="33"/>
      <c r="F58" s="33"/>
      <c r="G58" s="33"/>
      <c r="H58" s="33"/>
      <c r="I58" s="33"/>
      <c r="J58" s="33"/>
    </row>
    <row r="59" spans="1:10" x14ac:dyDescent="0.25">
      <c r="A59" s="33"/>
      <c r="B59" s="33"/>
      <c r="C59" s="33"/>
      <c r="D59" s="33"/>
      <c r="E59" s="33"/>
      <c r="F59" s="33"/>
      <c r="G59" s="33"/>
      <c r="H59" s="33"/>
      <c r="I59" s="33"/>
      <c r="J59" s="33"/>
    </row>
    <row r="60" spans="1:10" x14ac:dyDescent="0.25">
      <c r="A60" s="33"/>
      <c r="B60" s="33"/>
      <c r="C60" s="33"/>
      <c r="D60" s="33"/>
      <c r="E60" s="33"/>
      <c r="F60" s="33"/>
      <c r="G60" s="33"/>
      <c r="H60" s="33"/>
      <c r="I60" s="33"/>
      <c r="J60" s="33"/>
    </row>
    <row r="61" spans="1:10" x14ac:dyDescent="0.25">
      <c r="A61" s="33"/>
      <c r="B61" s="33"/>
      <c r="C61" s="33"/>
      <c r="D61" s="33"/>
      <c r="E61" s="33"/>
      <c r="F61" s="33"/>
      <c r="G61" s="33"/>
      <c r="H61" s="33"/>
      <c r="I61" s="33"/>
      <c r="J61" s="33"/>
    </row>
    <row r="62" spans="1:10" x14ac:dyDescent="0.25">
      <c r="A62" s="33"/>
      <c r="B62" s="33"/>
      <c r="C62" s="33"/>
      <c r="D62" s="33"/>
      <c r="E62" s="33"/>
      <c r="F62" s="33"/>
      <c r="G62" s="33"/>
      <c r="H62" s="33"/>
      <c r="I62" s="33"/>
      <c r="J62" s="33"/>
    </row>
    <row r="63" spans="1:10" x14ac:dyDescent="0.25">
      <c r="A63" s="33"/>
      <c r="B63" s="33"/>
      <c r="C63" s="33"/>
      <c r="D63" s="33"/>
      <c r="E63" s="33"/>
      <c r="F63" s="33"/>
      <c r="G63" s="33"/>
      <c r="H63" s="33"/>
      <c r="I63" s="33"/>
      <c r="J63" s="33"/>
    </row>
    <row r="64" spans="1:10" x14ac:dyDescent="0.25">
      <c r="A64" s="33"/>
      <c r="B64" s="33"/>
      <c r="C64" s="33"/>
      <c r="D64" s="33"/>
      <c r="E64" s="33"/>
      <c r="F64" s="33"/>
      <c r="G64" s="33"/>
      <c r="H64" s="33"/>
      <c r="I64" s="33"/>
      <c r="J64" s="33"/>
    </row>
    <row r="65" spans="1:10" x14ac:dyDescent="0.25">
      <c r="A65" s="33"/>
      <c r="B65" s="33"/>
      <c r="C65" s="33"/>
      <c r="D65" s="33"/>
      <c r="E65" s="33"/>
      <c r="F65" s="33"/>
      <c r="G65" s="33"/>
      <c r="H65" s="33"/>
      <c r="I65" s="33"/>
      <c r="J65" s="33"/>
    </row>
    <row r="66" spans="1:10" x14ac:dyDescent="0.25">
      <c r="A66" s="33"/>
      <c r="B66" s="33"/>
      <c r="C66" s="33"/>
      <c r="D66" s="33"/>
      <c r="E66" s="33"/>
      <c r="F66" s="33"/>
      <c r="G66" s="33"/>
      <c r="H66" s="33"/>
      <c r="I66" s="33"/>
      <c r="J66" s="33"/>
    </row>
    <row r="67" spans="1:10" x14ac:dyDescent="0.25">
      <c r="A67" s="33"/>
      <c r="B67" s="33"/>
      <c r="C67" s="33"/>
      <c r="D67" s="33"/>
      <c r="E67" s="33"/>
      <c r="F67" s="33"/>
      <c r="G67" s="33"/>
      <c r="H67" s="33"/>
      <c r="I67" s="33"/>
      <c r="J67" s="33"/>
    </row>
    <row r="68" spans="1:10" x14ac:dyDescent="0.25">
      <c r="A68" s="33"/>
      <c r="B68" s="33"/>
      <c r="C68" s="33"/>
      <c r="D68" s="33"/>
      <c r="E68" s="33"/>
      <c r="F68" s="33"/>
      <c r="G68" s="33"/>
      <c r="H68" s="33"/>
      <c r="I68" s="33"/>
      <c r="J68" s="33"/>
    </row>
    <row r="69" spans="1:10" x14ac:dyDescent="0.25">
      <c r="A69" s="33"/>
      <c r="B69" s="33"/>
      <c r="C69" s="33"/>
      <c r="D69" s="33"/>
      <c r="E69" s="33"/>
      <c r="F69" s="33"/>
      <c r="G69" s="33"/>
      <c r="H69" s="33"/>
      <c r="I69" s="33"/>
      <c r="J69" s="33"/>
    </row>
    <row r="70" spans="1:10" x14ac:dyDescent="0.25">
      <c r="A70" s="33"/>
      <c r="B70" s="33"/>
      <c r="C70" s="33"/>
      <c r="D70" s="33"/>
      <c r="E70" s="33"/>
      <c r="F70" s="33"/>
      <c r="G70" s="33"/>
      <c r="H70" s="33"/>
      <c r="I70" s="33"/>
      <c r="J70" s="33"/>
    </row>
    <row r="71" spans="1:10" x14ac:dyDescent="0.25">
      <c r="A71" s="33"/>
      <c r="B71" s="33"/>
      <c r="C71" s="33"/>
      <c r="D71" s="33"/>
      <c r="E71" s="33"/>
      <c r="F71" s="33"/>
      <c r="G71" s="33"/>
      <c r="H71" s="33"/>
      <c r="I71" s="33"/>
      <c r="J71" s="33"/>
    </row>
    <row r="72" spans="1:10" x14ac:dyDescent="0.25">
      <c r="A72" s="33"/>
      <c r="B72" s="33"/>
      <c r="C72" s="33"/>
      <c r="D72" s="33"/>
      <c r="E72" s="33"/>
      <c r="F72" s="33"/>
      <c r="G72" s="33"/>
      <c r="H72" s="33"/>
      <c r="I72" s="33"/>
      <c r="J72" s="33"/>
    </row>
    <row r="73" spans="1:10" x14ac:dyDescent="0.25">
      <c r="A73" s="33"/>
      <c r="B73" s="33"/>
      <c r="C73" s="33"/>
      <c r="D73" s="33"/>
      <c r="E73" s="33"/>
      <c r="F73" s="33"/>
      <c r="G73" s="33"/>
      <c r="H73" s="33"/>
      <c r="I73" s="33"/>
      <c r="J73" s="33"/>
    </row>
    <row r="74" spans="1:10" x14ac:dyDescent="0.25">
      <c r="A74" s="33"/>
      <c r="B74" s="33"/>
      <c r="C74" s="33"/>
      <c r="D74" s="33"/>
      <c r="E74" s="33"/>
      <c r="F74" s="33"/>
      <c r="G74" s="33"/>
      <c r="H74" s="33"/>
      <c r="I74" s="33"/>
      <c r="J74" s="33"/>
    </row>
    <row r="75" spans="1:10" x14ac:dyDescent="0.25">
      <c r="A75" s="33"/>
      <c r="B75" s="33"/>
      <c r="C75" s="33"/>
      <c r="D75" s="33"/>
      <c r="E75" s="33"/>
      <c r="F75" s="33"/>
      <c r="G75" s="33"/>
      <c r="H75" s="33"/>
      <c r="I75" s="33"/>
      <c r="J75" s="33"/>
    </row>
    <row r="76" spans="1:10" x14ac:dyDescent="0.25">
      <c r="A76" s="33"/>
      <c r="B76" s="33"/>
      <c r="C76" s="33"/>
      <c r="D76" s="33"/>
      <c r="E76" s="33"/>
      <c r="F76" s="33"/>
      <c r="G76" s="33"/>
      <c r="H76" s="33"/>
      <c r="I76" s="33"/>
      <c r="J76" s="33"/>
    </row>
  </sheetData>
  <sheetProtection algorithmName="SHA-512" hashValue="8p6+gH3/RpTAxvT2vvOmld7a792/LqhC2OXgH99coqCdZ2YbaKiAoZCDgdy4dddy5E/fWBZ4dz9x9L0r2X/ESQ==" saltValue="lkTxrp3wgbjEkHGl2zfOFA==" spinCount="100000" sheet="1" selectLockedCells="1"/>
  <mergeCells count="49">
    <mergeCell ref="A41:J42"/>
    <mergeCell ref="I15:I16"/>
    <mergeCell ref="D13:D14"/>
    <mergeCell ref="F5:G5"/>
    <mergeCell ref="B10:D10"/>
    <mergeCell ref="E15:E16"/>
    <mergeCell ref="G15:G16"/>
    <mergeCell ref="A11:B11"/>
    <mergeCell ref="D17:D18"/>
    <mergeCell ref="D19:D20"/>
    <mergeCell ref="C25:D25"/>
    <mergeCell ref="H19:H20"/>
    <mergeCell ref="J19:J20"/>
    <mergeCell ref="A25:B25"/>
    <mergeCell ref="J17:J18"/>
    <mergeCell ref="A21:A22"/>
    <mergeCell ref="F3:G3"/>
    <mergeCell ref="F7:G8"/>
    <mergeCell ref="H7:I8"/>
    <mergeCell ref="G11:H11"/>
    <mergeCell ref="G9:I9"/>
    <mergeCell ref="I11:J11"/>
    <mergeCell ref="H2:I3"/>
    <mergeCell ref="H4:I5"/>
    <mergeCell ref="A34:J34"/>
    <mergeCell ref="A37:J37"/>
    <mergeCell ref="C21:C22"/>
    <mergeCell ref="E21:E22"/>
    <mergeCell ref="G21:G22"/>
    <mergeCell ref="I21:I22"/>
    <mergeCell ref="G25:H25"/>
    <mergeCell ref="I25:J25"/>
    <mergeCell ref="C29:F29"/>
    <mergeCell ref="A38:J40"/>
    <mergeCell ref="A44:J44"/>
    <mergeCell ref="H17:H18"/>
    <mergeCell ref="A49:E49"/>
    <mergeCell ref="A6:A7"/>
    <mergeCell ref="A15:A16"/>
    <mergeCell ref="C15:C16"/>
    <mergeCell ref="A8:A9"/>
    <mergeCell ref="B8:D9"/>
    <mergeCell ref="B6:D7"/>
    <mergeCell ref="E25:F25"/>
    <mergeCell ref="B17:B18"/>
    <mergeCell ref="B19:B20"/>
    <mergeCell ref="F17:F18"/>
    <mergeCell ref="F19:F20"/>
    <mergeCell ref="F49:J53"/>
  </mergeCells>
  <conditionalFormatting sqref="A15:A16">
    <cfRule type="containsText" dxfId="9" priority="37" operator="containsText" text="8.) Kernzeit pro Tag">
      <formula>NOT(ISERROR(SEARCH("8.) Kernzeit pro Tag",A15)))</formula>
    </cfRule>
  </conditionalFormatting>
  <conditionalFormatting sqref="C15:C16">
    <cfRule type="containsText" dxfId="8" priority="38" operator="containsText" text="Kernzeit pro Tag">
      <formula>NOT(ISERROR(SEARCH("Kernzeit pro Tag",C15)))</formula>
    </cfRule>
  </conditionalFormatting>
  <conditionalFormatting sqref="E15:E16">
    <cfRule type="containsText" dxfId="7" priority="36" operator="containsText" text="Kernzeit pro Tag">
      <formula>NOT(ISERROR(SEARCH("Kernzeit pro Tag",E15)))</formula>
    </cfRule>
  </conditionalFormatting>
  <conditionalFormatting sqref="G15:G16">
    <cfRule type="containsText" dxfId="6" priority="35" operator="containsText" text="Kernzeit pro Tag">
      <formula>NOT(ISERROR(SEARCH("Kernzeit pro Tag",G15)))</formula>
    </cfRule>
  </conditionalFormatting>
  <conditionalFormatting sqref="I15:I16">
    <cfRule type="containsText" dxfId="5" priority="34" operator="containsText" text="Kernzeit pro Tag">
      <formula>NOT(ISERROR(SEARCH("Kernzeit pro Tag",I15)))</formula>
    </cfRule>
  </conditionalFormatting>
  <dataValidations count="2">
    <dataValidation type="custom" showInputMessage="1" showErrorMessage="1" errorTitle="Fehlende Angaben" error="Punkte 3.)  4.) füllen:_x000a__x000a_&quot;Profil gültig ab&quot;_x000a_&quot; Profil gültig bis&quot;_x000a_&quot;genommene Urlaubstage&quot;" sqref="B6:D7">
      <formula1>NOT(ISBLANK($H$2))</formula1>
    </dataValidation>
    <dataValidation type="custom" showInputMessage="1" showErrorMessage="1" errorTitle="Fehlende Angaben" error="Feld &quot;genommene Urlaubstage zum Stichtag&quot;, &quot;Einrichtung&quot; und &quot;Vorgesetzte&quot; ausfüllen." sqref="C11">
      <formula1>AND(NOT(ISBLANK($B$10)),NOT(ISBLANK($H$7)))</formula1>
    </dataValidation>
  </dataValidations>
  <hyperlinks>
    <hyperlink ref="A49" r:id="rId1"/>
  </hyperlinks>
  <pageMargins left="0.7" right="0.7" top="1" bottom="0.78740157499999996" header="0.3" footer="0.3"/>
  <pageSetup paperSize="9" orientation="landscape" r:id="rId2"/>
  <headerFooter differentFirst="1">
    <firstHeader xml:space="preserve">&amp;LBitte &amp;"-,Fett"&amp;Uelektronisch ausfüllen,&amp;"-,Standard"&amp;U &amp;"-,Fett"&amp;U1. Seite ausdrucken&amp;"-,Standard"&amp;U 
und den &amp;"-,Fett"&amp;Uunterzeichneten Ausdruck
&amp;"-,Standard"&amp;U in der Personalabteilung einreichen &amp;C&amp;"-,Fett"Arbeitszeitprofil für Primion
</first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1035" r:id="rId5" name="Group Box 11">
              <controlPr defaultSize="0" autoFill="0" autoPict="0">
                <anchor moveWithCells="1">
                  <from>
                    <xdr:col>0</xdr:col>
                    <xdr:colOff>38100</xdr:colOff>
                    <xdr:row>1</xdr:row>
                    <xdr:rowOff>171450</xdr:rowOff>
                  </from>
                  <to>
                    <xdr:col>2</xdr:col>
                    <xdr:colOff>38100</xdr:colOff>
                    <xdr:row>4</xdr:row>
                    <xdr:rowOff>180975</xdr:rowOff>
                  </to>
                </anchor>
              </controlPr>
            </control>
          </mc:Choice>
        </mc:AlternateContent>
        <mc:AlternateContent xmlns:mc="http://schemas.openxmlformats.org/markup-compatibility/2006">
          <mc:Choice Requires="x14">
            <control shapeId="1036" r:id="rId6" name="Group Box 12">
              <controlPr defaultSize="0" autoFill="0" autoPict="0">
                <anchor moveWithCells="1">
                  <from>
                    <xdr:col>2</xdr:col>
                    <xdr:colOff>1019175</xdr:colOff>
                    <xdr:row>1</xdr:row>
                    <xdr:rowOff>161925</xdr:rowOff>
                  </from>
                  <to>
                    <xdr:col>5</xdr:col>
                    <xdr:colOff>0</xdr:colOff>
                    <xdr:row>4</xdr:row>
                    <xdr:rowOff>180975</xdr:rowOff>
                  </to>
                </anchor>
              </controlPr>
            </control>
          </mc:Choice>
        </mc:AlternateContent>
        <mc:AlternateContent xmlns:mc="http://schemas.openxmlformats.org/markup-compatibility/2006">
          <mc:Choice Requires="x14">
            <control shapeId="1042" r:id="rId7" name="Check Box 18">
              <controlPr defaultSize="0" autoFill="0" autoLine="0" autoPict="0">
                <anchor moveWithCells="1">
                  <from>
                    <xdr:col>2</xdr:col>
                    <xdr:colOff>752475</xdr:colOff>
                    <xdr:row>11</xdr:row>
                    <xdr:rowOff>295275</xdr:rowOff>
                  </from>
                  <to>
                    <xdr:col>2</xdr:col>
                    <xdr:colOff>1028700</xdr:colOff>
                    <xdr:row>13</xdr:row>
                    <xdr:rowOff>57150</xdr:rowOff>
                  </to>
                </anchor>
              </controlPr>
            </control>
          </mc:Choice>
        </mc:AlternateContent>
        <mc:AlternateContent xmlns:mc="http://schemas.openxmlformats.org/markup-compatibility/2006">
          <mc:Choice Requires="x14">
            <control shapeId="1062" r:id="rId8" name="Option Button 38">
              <controlPr defaultSize="0" autoFill="0" autoLine="0" autoPict="0" macro="[0]!Optionsfeld38_Klicken">
                <anchor moveWithCells="1">
                  <from>
                    <xdr:col>0</xdr:col>
                    <xdr:colOff>85725</xdr:colOff>
                    <xdr:row>2</xdr:row>
                    <xdr:rowOff>104775</xdr:rowOff>
                  </from>
                  <to>
                    <xdr:col>0</xdr:col>
                    <xdr:colOff>1000125</xdr:colOff>
                    <xdr:row>3</xdr:row>
                    <xdr:rowOff>133350</xdr:rowOff>
                  </to>
                </anchor>
              </controlPr>
            </control>
          </mc:Choice>
        </mc:AlternateContent>
        <mc:AlternateContent xmlns:mc="http://schemas.openxmlformats.org/markup-compatibility/2006">
          <mc:Choice Requires="x14">
            <control shapeId="1063" r:id="rId9" name="Option Button 39">
              <controlPr defaultSize="0" autoFill="0" autoLine="0" autoPict="0" macro="[0]!Optionsfeld39_Klicken">
                <anchor moveWithCells="1">
                  <from>
                    <xdr:col>1</xdr:col>
                    <xdr:colOff>133350</xdr:colOff>
                    <xdr:row>3</xdr:row>
                    <xdr:rowOff>152400</xdr:rowOff>
                  </from>
                  <to>
                    <xdr:col>2</xdr:col>
                    <xdr:colOff>9525</xdr:colOff>
                    <xdr:row>4</xdr:row>
                    <xdr:rowOff>180975</xdr:rowOff>
                  </to>
                </anchor>
              </controlPr>
            </control>
          </mc:Choice>
        </mc:AlternateContent>
        <mc:AlternateContent xmlns:mc="http://schemas.openxmlformats.org/markup-compatibility/2006">
          <mc:Choice Requires="x14">
            <control shapeId="1064" r:id="rId10" name="Option Button 40">
              <controlPr defaultSize="0" autoFill="0" autoLine="0" autoPict="0" macro="[0]!Optionsfeld40_Klicken">
                <anchor moveWithCells="1">
                  <from>
                    <xdr:col>3</xdr:col>
                    <xdr:colOff>38100</xdr:colOff>
                    <xdr:row>2</xdr:row>
                    <xdr:rowOff>57150</xdr:rowOff>
                  </from>
                  <to>
                    <xdr:col>3</xdr:col>
                    <xdr:colOff>685800</xdr:colOff>
                    <xdr:row>3</xdr:row>
                    <xdr:rowOff>85725</xdr:rowOff>
                  </to>
                </anchor>
              </controlPr>
            </control>
          </mc:Choice>
        </mc:AlternateContent>
        <mc:AlternateContent xmlns:mc="http://schemas.openxmlformats.org/markup-compatibility/2006">
          <mc:Choice Requires="x14">
            <control shapeId="1065" r:id="rId11" name="Option Button 41">
              <controlPr defaultSize="0" autoFill="0" autoLine="0" autoPict="0" macro="[0]!Optionsfeld41_Klicken">
                <anchor moveWithCells="1">
                  <from>
                    <xdr:col>4</xdr:col>
                    <xdr:colOff>352425</xdr:colOff>
                    <xdr:row>3</xdr:row>
                    <xdr:rowOff>66675</xdr:rowOff>
                  </from>
                  <to>
                    <xdr:col>4</xdr:col>
                    <xdr:colOff>933450</xdr:colOff>
                    <xdr:row>4</xdr:row>
                    <xdr:rowOff>104775</xdr:rowOff>
                  </to>
                </anchor>
              </controlPr>
            </control>
          </mc:Choice>
        </mc:AlternateContent>
        <mc:AlternateContent xmlns:mc="http://schemas.openxmlformats.org/markup-compatibility/2006">
          <mc:Choice Requires="x14">
            <control shapeId="1067" r:id="rId12" name="Check Box 43">
              <controlPr defaultSize="0" autoFill="0" autoLine="0" autoPict="0">
                <anchor moveWithCells="1">
                  <from>
                    <xdr:col>3</xdr:col>
                    <xdr:colOff>295275</xdr:colOff>
                    <xdr:row>15</xdr:row>
                    <xdr:rowOff>0</xdr:rowOff>
                  </from>
                  <to>
                    <xdr:col>4</xdr:col>
                    <xdr:colOff>209550</xdr:colOff>
                    <xdr:row>15</xdr:row>
                    <xdr:rowOff>161925</xdr:rowOff>
                  </to>
                </anchor>
              </controlPr>
            </control>
          </mc:Choice>
        </mc:AlternateContent>
        <mc:AlternateContent xmlns:mc="http://schemas.openxmlformats.org/markup-compatibility/2006">
          <mc:Choice Requires="x14">
            <control shapeId="1068" r:id="rId13" name="Check Box 44">
              <controlPr defaultSize="0" autoFill="0" autoLine="0" autoPict="0">
                <anchor moveWithCells="1">
                  <from>
                    <xdr:col>5</xdr:col>
                    <xdr:colOff>295275</xdr:colOff>
                    <xdr:row>15</xdr:row>
                    <xdr:rowOff>0</xdr:rowOff>
                  </from>
                  <to>
                    <xdr:col>6</xdr:col>
                    <xdr:colOff>209550</xdr:colOff>
                    <xdr:row>15</xdr:row>
                    <xdr:rowOff>161925</xdr:rowOff>
                  </to>
                </anchor>
              </controlPr>
            </control>
          </mc:Choice>
        </mc:AlternateContent>
        <mc:AlternateContent xmlns:mc="http://schemas.openxmlformats.org/markup-compatibility/2006">
          <mc:Choice Requires="x14">
            <control shapeId="1069" r:id="rId14" name="Check Box 45">
              <controlPr defaultSize="0" autoFill="0" autoLine="0" autoPict="0">
                <anchor moveWithCells="1">
                  <from>
                    <xdr:col>7</xdr:col>
                    <xdr:colOff>295275</xdr:colOff>
                    <xdr:row>15</xdr:row>
                    <xdr:rowOff>0</xdr:rowOff>
                  </from>
                  <to>
                    <xdr:col>8</xdr:col>
                    <xdr:colOff>209550</xdr:colOff>
                    <xdr:row>15</xdr:row>
                    <xdr:rowOff>161925</xdr:rowOff>
                  </to>
                </anchor>
              </controlPr>
            </control>
          </mc:Choice>
        </mc:AlternateContent>
        <mc:AlternateContent xmlns:mc="http://schemas.openxmlformats.org/markup-compatibility/2006">
          <mc:Choice Requires="x14">
            <control shapeId="1070" r:id="rId15" name="Check Box 46">
              <controlPr defaultSize="0" autoFill="0" autoLine="0" autoPict="0">
                <anchor moveWithCells="1">
                  <from>
                    <xdr:col>9</xdr:col>
                    <xdr:colOff>295275</xdr:colOff>
                    <xdr:row>15</xdr:row>
                    <xdr:rowOff>0</xdr:rowOff>
                  </from>
                  <to>
                    <xdr:col>10</xdr:col>
                    <xdr:colOff>209550</xdr:colOff>
                    <xdr:row>15</xdr:row>
                    <xdr:rowOff>161925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1</xdr:col>
                    <xdr:colOff>257175</xdr:colOff>
                    <xdr:row>14</xdr:row>
                    <xdr:rowOff>161925</xdr:rowOff>
                  </from>
                  <to>
                    <xdr:col>1</xdr:col>
                    <xdr:colOff>561975</xdr:colOff>
                    <xdr:row>16</xdr:row>
                    <xdr:rowOff>0</xdr:rowOff>
                  </to>
                </anchor>
              </controlPr>
            </control>
          </mc:Choice>
        </mc:AlternateContent>
        <mc:AlternateContent xmlns:mc="http://schemas.openxmlformats.org/markup-compatibility/2006">
          <mc:Choice Requires="x14">
            <control shapeId="1075" r:id="rId17" name="Check Box 51">
              <controlPr defaultSize="0" autoFill="0" autoLine="0" autoPict="0">
                <anchor moveWithCells="1">
                  <from>
                    <xdr:col>7</xdr:col>
                    <xdr:colOff>295275</xdr:colOff>
                    <xdr:row>15</xdr:row>
                    <xdr:rowOff>0</xdr:rowOff>
                  </from>
                  <to>
                    <xdr:col>8</xdr:col>
                    <xdr:colOff>209550</xdr:colOff>
                    <xdr:row>15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C85E3D56-5078-4D90-B9FE-BED17F5C22B7}">
            <xm:f>Tabelle2!$A$18=FALSE</xm:f>
            <x14:dxf>
              <fill>
                <patternFill>
                  <bgColor theme="2" tint="-9.9948118533890809E-2"/>
                </patternFill>
              </fill>
            </x14:dxf>
          </x14:cfRule>
          <xm:sqref>B17:B23</xm:sqref>
        </x14:conditionalFormatting>
        <x14:conditionalFormatting xmlns:xm="http://schemas.microsoft.com/office/excel/2006/main">
          <x14:cfRule type="expression" priority="5" id="{005F1DA0-B344-4D2F-B06F-2E446B158948}">
            <xm:f>Tabelle2!$B$18=FALSE</xm:f>
            <x14:dxf>
              <fill>
                <patternFill>
                  <bgColor theme="2" tint="-9.9948118533890809E-2"/>
                </patternFill>
              </fill>
            </x14:dxf>
          </x14:cfRule>
          <xm:sqref>D17:D23</xm:sqref>
        </x14:conditionalFormatting>
        <x14:conditionalFormatting xmlns:xm="http://schemas.microsoft.com/office/excel/2006/main">
          <x14:cfRule type="expression" priority="3" id="{0DBAA069-1B4D-43D0-AE9F-A2A520DD71EC}">
            <xm:f>Tabelle2!$D$18=FALSE</xm:f>
            <x14:dxf>
              <fill>
                <patternFill>
                  <bgColor theme="2" tint="-9.9948118533890809E-2"/>
                </patternFill>
              </fill>
            </x14:dxf>
          </x14:cfRule>
          <xm:sqref>H17:H23</xm:sqref>
        </x14:conditionalFormatting>
        <x14:conditionalFormatting xmlns:xm="http://schemas.microsoft.com/office/excel/2006/main">
          <x14:cfRule type="expression" priority="2" id="{2827250A-0DDF-462C-9231-90458D64A8D6}">
            <xm:f>Tabelle2!$E$18=FALSE</xm:f>
            <x14:dxf>
              <fill>
                <patternFill>
                  <bgColor theme="2" tint="-9.9948118533890809E-2"/>
                </patternFill>
              </fill>
            </x14:dxf>
          </x14:cfRule>
          <xm:sqref>J17:J23</xm:sqref>
        </x14:conditionalFormatting>
        <x14:conditionalFormatting xmlns:xm="http://schemas.microsoft.com/office/excel/2006/main">
          <x14:cfRule type="expression" priority="1" id="{8DAD952D-7067-4863-A7DD-F0D63761D14E}">
            <xm:f>Tabelle2!$C$18=FALSE</xm:f>
            <x14:dxf>
              <fill>
                <patternFill>
                  <bgColor theme="2" tint="-9.9948118533890809E-2"/>
                </patternFill>
              </fill>
            </x14:dxf>
          </x14:cfRule>
          <xm:sqref>F17:F23</xm:sqref>
        </x14:conditionalFormatting>
      </x14:conditionalFormattings>
    </ext>
    <ext xmlns:x14="http://schemas.microsoft.com/office/spreadsheetml/2009/9/main" uri="{CCE6A557-97BC-4b89-ADB6-D9C93CAAB3DF}">
      <x14:dataValidations xmlns:xm="http://schemas.microsoft.com/office/excel/2006/main" count="12">
        <x14:dataValidation type="custom" allowBlank="1" showInputMessage="1" showErrorMessage="1" errorTitle="Fehlerhafte Eingabe" error="Bitte erst Arbeitstag auswälen">
          <x14:formula1>
            <xm:f>Tabelle2!$A$18=TRUE</xm:f>
          </x14:formula1>
          <xm:sqref>B21:B22</xm:sqref>
        </x14:dataValidation>
        <x14:dataValidation type="custom" allowBlank="1" showInputMessage="1" showErrorMessage="1" errorTitle="Fehlerhafte Eingabe" error="Bitte erst Arbeitstag auswälen und/oder_x000a__x000a_Anpassung der täglichen Sollarbeitszeit (max 10 Std., bzw. im Durchschnitt max. 8 Std.)">
          <x14:formula1>
            <xm:f>AND(Tabelle2!$A$18=TRUE,B23&lt;10.01)</xm:f>
          </x14:formula1>
          <xm:sqref>B23</xm:sqref>
        </x14:dataValidation>
        <x14:dataValidation type="custom" allowBlank="1" showInputMessage="1" showErrorMessage="1" errorTitle="Fehlerhafte Eingabe" error="Bitte erst Arbeitstag auswählen">
          <x14:formula1>
            <xm:f>Tabelle2!$E$18=TRUE</xm:f>
          </x14:formula1>
          <xm:sqref>J17:J22</xm:sqref>
        </x14:dataValidation>
        <x14:dataValidation type="custom" allowBlank="1" showInputMessage="1" showErrorMessage="1" errorTitle="Fehlerhafte Eingabe" error="Bitte erst Arbeitstag auswälen und/oder_x000a__x000a_Anpassung der täglichen Sollarbeitszeit _x000a_(max 10 Std., bzw. im Durchschnitt max. 8 Std.)">
          <x14:formula1>
            <xm:f>AND(Tabelle2!$E$18=TRUE,J23&lt;10.01)</xm:f>
          </x14:formula1>
          <xm:sqref>J23</xm:sqref>
        </x14:dataValidation>
        <x14:dataValidation type="custom" allowBlank="1" showInputMessage="1" showErrorMessage="1" errorTitle="Fehlerhafte Eingabe" error="Bitte erst Arbeitstag auswählen">
          <x14:formula1>
            <xm:f>Tabelle2!$D$18=TRUE</xm:f>
          </x14:formula1>
          <xm:sqref>H17:H22</xm:sqref>
        </x14:dataValidation>
        <x14:dataValidation type="custom" allowBlank="1" showInputMessage="1" showErrorMessage="1" errorTitle="Fehlerhafte Eingabe" error="Bitte erst Arbeitstag auswälen und/oder_x000a__x000a_Anpassung der täglichen Sollarbeitszeit (max 10 Std., bzw. im Durchschnitt max. 8 Std.)">
          <x14:formula1>
            <xm:f>AND(Tabelle2!$D$18=TRUE,H23&lt;10.01)</xm:f>
          </x14:formula1>
          <xm:sqref>H23</xm:sqref>
        </x14:dataValidation>
        <x14:dataValidation type="custom" allowBlank="1" showInputMessage="1" showErrorMessage="1" errorTitle="Fehlerhafte Eingabe" error="Bitte erst Arbeitstag auswählen">
          <x14:formula1>
            <xm:f>Tabelle2!$C$18=TRUE</xm:f>
          </x14:formula1>
          <xm:sqref>F17:F22</xm:sqref>
        </x14:dataValidation>
        <x14:dataValidation type="custom" allowBlank="1" showInputMessage="1" showErrorMessage="1" errorTitle="Fehlerhafte Eingabe" error="Bitte erst Arbeitstag auswälen und/oder_x000a__x000a_Anpassung der täglichen Sollarbeitszeit (max 10 Std., bzw. im Durchschnitt max. 8 Std.)_x000a_">
          <x14:formula1>
            <xm:f>AND(Tabelle2!$C$18=TRUE,F23&lt;10.01)</xm:f>
          </x14:formula1>
          <xm:sqref>F23</xm:sqref>
        </x14:dataValidation>
        <x14:dataValidation type="custom" allowBlank="1" showInputMessage="1" showErrorMessage="1" errorTitle="Fehlerhafte Eingabe" error="Bitte erst Arbeitstag auswälen und/oder_x000a__x000a_Anpassung der täglichen Sollarbeitszeit (max 10 Std., bzw. im Durchschnitt max. 8 Std.)">
          <x14:formula1>
            <xm:f>AND(Tabelle2!$B$18=TRUE,D23&lt;10.01)</xm:f>
          </x14:formula1>
          <xm:sqref>D23</xm:sqref>
        </x14:dataValidation>
        <x14:dataValidation type="custom" allowBlank="1" showInputMessage="1" showErrorMessage="1" errorTitle="Fehlerhafte Eingabe" error="Bitte erst Arbeitstag auswälen _x000a_">
          <x14:formula1>
            <xm:f>Tabelle2!$A$18=TRUE</xm:f>
          </x14:formula1>
          <xm:sqref>B17:B18</xm:sqref>
        </x14:dataValidation>
        <x14:dataValidation type="custom" allowBlank="1" showInputMessage="1" showErrorMessage="1" errorTitle="Fehlerhafte Eingabe" error="Bitte erst Arbeitstag auswälen_x000a_">
          <x14:formula1>
            <xm:f>Tabelle2!$A$18=TRUE</xm:f>
          </x14:formula1>
          <xm:sqref>B19:B20</xm:sqref>
        </x14:dataValidation>
        <x14:dataValidation type="custom" allowBlank="1" showInputMessage="1" showErrorMessage="1" errorTitle="Fehlerhafte Eingabe" error="Bitte erst Arbeitstag auswählen">
          <x14:formula1>
            <xm:f>Tabelle2!$B$18=TRUE</xm:f>
          </x14:formula1>
          <xm:sqref>D17:D22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J32"/>
  <sheetViews>
    <sheetView workbookViewId="0">
      <selection activeCell="J21" sqref="J21"/>
    </sheetView>
  </sheetViews>
  <sheetFormatPr baseColWidth="10" defaultRowHeight="15" x14ac:dyDescent="0.25"/>
  <sheetData>
    <row r="1" spans="1:10" x14ac:dyDescent="0.25">
      <c r="A1" s="54">
        <v>0.6</v>
      </c>
      <c r="B1" s="55">
        <v>5</v>
      </c>
      <c r="C1" s="56">
        <v>2.5</v>
      </c>
      <c r="D1" s="57">
        <f>IF(AND(Tabelle1!$D$11&gt;=50%,Tabelle1!$D$11&lt;=60%),60%,IF(AND(Tabelle1!$D$11&lt;76%,Tabelle1!$D$11&gt;60%),75%,IF(AND(Tabelle1!$D$11&lt;=90%,Tabelle1!$D$11&gt;=76%),90%,Tabelle1!$D$11)))</f>
        <v>1</v>
      </c>
      <c r="E1" s="58">
        <f>Tabelle1!$C$12</f>
        <v>5</v>
      </c>
      <c r="F1" s="59"/>
      <c r="G1" s="60"/>
      <c r="H1" s="46"/>
      <c r="I1" s="46"/>
      <c r="J1" s="44"/>
    </row>
    <row r="2" spans="1:10" x14ac:dyDescent="0.25">
      <c r="A2" s="54">
        <v>0.75</v>
      </c>
      <c r="B2" s="55">
        <v>5</v>
      </c>
      <c r="C2" s="56">
        <v>3.3</v>
      </c>
      <c r="D2" s="56">
        <f t="array" ref="D2">IF(Tabelle1!$D$11&lt;50%,Tabelle2!$C$11,VLOOKUP(D1,IF(B1:B10=E1,A1:C10,""),3))</f>
        <v>4</v>
      </c>
      <c r="E2" s="56"/>
      <c r="F2" s="61"/>
      <c r="G2" s="60"/>
      <c r="H2" s="46"/>
      <c r="I2" s="46"/>
      <c r="J2" s="44"/>
    </row>
    <row r="3" spans="1:10" x14ac:dyDescent="0.25">
      <c r="A3" s="54">
        <v>0.9</v>
      </c>
      <c r="B3" s="56">
        <v>5</v>
      </c>
      <c r="C3" s="56">
        <v>4</v>
      </c>
      <c r="D3" s="62"/>
      <c r="E3" s="56"/>
      <c r="F3" s="63" t="s">
        <v>13</v>
      </c>
      <c r="G3" s="60"/>
      <c r="H3" s="46"/>
      <c r="I3" s="46"/>
      <c r="J3" s="44"/>
    </row>
    <row r="4" spans="1:10" x14ac:dyDescent="0.25">
      <c r="A4" s="54">
        <v>0.6</v>
      </c>
      <c r="B4" s="56">
        <v>4</v>
      </c>
      <c r="C4" s="56">
        <v>3.125</v>
      </c>
      <c r="D4" s="62"/>
      <c r="E4" s="56"/>
      <c r="F4" s="63" t="s">
        <v>14</v>
      </c>
      <c r="G4" s="60"/>
      <c r="H4" s="46"/>
      <c r="I4" s="46"/>
      <c r="J4" s="44"/>
    </row>
    <row r="5" spans="1:10" x14ac:dyDescent="0.25">
      <c r="A5" s="54">
        <v>0.75</v>
      </c>
      <c r="B5" s="56">
        <v>4</v>
      </c>
      <c r="C5" s="56">
        <v>4.125</v>
      </c>
      <c r="D5" s="62"/>
      <c r="E5" s="56"/>
      <c r="F5" s="61"/>
      <c r="G5" s="60"/>
      <c r="H5" s="46"/>
      <c r="I5" s="46"/>
      <c r="J5" s="44"/>
    </row>
    <row r="6" spans="1:10" x14ac:dyDescent="0.25">
      <c r="A6" s="54">
        <v>0.9</v>
      </c>
      <c r="B6" s="56">
        <v>4</v>
      </c>
      <c r="C6" s="56">
        <v>5</v>
      </c>
      <c r="D6" s="62"/>
      <c r="E6" s="56"/>
      <c r="F6" s="61"/>
      <c r="G6" s="60"/>
      <c r="H6" s="46"/>
      <c r="I6" s="46"/>
      <c r="J6" s="44"/>
    </row>
    <row r="7" spans="1:10" x14ac:dyDescent="0.25">
      <c r="A7" s="54">
        <v>0.6</v>
      </c>
      <c r="B7" s="56">
        <v>3</v>
      </c>
      <c r="C7" s="56">
        <v>4.1660000000000004</v>
      </c>
      <c r="D7" s="62"/>
      <c r="E7" s="56"/>
      <c r="F7" s="61"/>
      <c r="G7" s="60"/>
      <c r="H7" s="46"/>
      <c r="I7" s="46"/>
      <c r="J7" s="44"/>
    </row>
    <row r="8" spans="1:10" x14ac:dyDescent="0.25">
      <c r="A8" s="54">
        <v>0.75</v>
      </c>
      <c r="B8" s="56">
        <v>3</v>
      </c>
      <c r="C8" s="56">
        <v>5.5</v>
      </c>
      <c r="D8" s="62"/>
      <c r="E8" s="56"/>
      <c r="F8" s="61"/>
      <c r="G8" s="60"/>
      <c r="H8" s="46"/>
      <c r="I8" s="46"/>
      <c r="J8" s="44"/>
    </row>
    <row r="9" spans="1:10" x14ac:dyDescent="0.25">
      <c r="A9" s="54">
        <v>0.9</v>
      </c>
      <c r="B9" s="56">
        <v>3</v>
      </c>
      <c r="C9" s="56">
        <v>6.6660000000000004</v>
      </c>
      <c r="D9" s="62"/>
      <c r="E9" s="56"/>
      <c r="F9" s="61"/>
      <c r="G9" s="60"/>
      <c r="H9" s="46"/>
      <c r="I9" s="46"/>
      <c r="J9" s="44"/>
    </row>
    <row r="10" spans="1:10" x14ac:dyDescent="0.25">
      <c r="A10" s="64">
        <v>0.6</v>
      </c>
      <c r="B10" s="56">
        <v>2</v>
      </c>
      <c r="C10" s="56">
        <v>6.25</v>
      </c>
      <c r="D10" s="62"/>
      <c r="E10" s="56"/>
      <c r="F10" s="61"/>
      <c r="G10" s="60"/>
      <c r="H10" s="46"/>
      <c r="I10" s="46"/>
      <c r="J10" s="44"/>
    </row>
    <row r="11" spans="1:10" x14ac:dyDescent="0.25">
      <c r="A11" s="64" t="str">
        <f>IF(Tabelle1!$D$11&lt;50%,Tabelle1!$D$11,"")</f>
        <v/>
      </c>
      <c r="B11" s="56">
        <f>$E$1</f>
        <v>5</v>
      </c>
      <c r="C11" s="56" t="e">
        <f>(22*$A$11)/$B$11</f>
        <v>#VALUE!</v>
      </c>
      <c r="D11" s="62"/>
      <c r="E11" s="56"/>
      <c r="F11" s="61"/>
      <c r="G11" s="60"/>
      <c r="H11" s="46"/>
      <c r="I11" s="46"/>
      <c r="J11" s="44"/>
    </row>
    <row r="12" spans="1:10" ht="15.75" thickBot="1" x14ac:dyDescent="0.3">
      <c r="A12" s="56"/>
      <c r="B12" s="56"/>
      <c r="C12" s="56"/>
      <c r="D12" s="62"/>
      <c r="E12" s="56"/>
      <c r="F12" s="61"/>
      <c r="G12" s="60"/>
      <c r="H12" s="46"/>
      <c r="I12" s="46"/>
      <c r="J12" s="44"/>
    </row>
    <row r="13" spans="1:10" x14ac:dyDescent="0.25">
      <c r="A13" s="56" t="s">
        <v>15</v>
      </c>
      <c r="B13" s="56" t="s">
        <v>34</v>
      </c>
      <c r="C13" s="65">
        <f>Tabelle1!$C$11-(Tabelle1!$B$23+Tabelle1!$D$23+Tabelle1!$F$23+Tabelle1!$H$23+Tabelle1!$J$23)</f>
        <v>0</v>
      </c>
      <c r="D13" s="66">
        <v>100</v>
      </c>
      <c r="E13" s="58"/>
      <c r="F13" s="61"/>
      <c r="G13" s="60"/>
      <c r="H13" s="46"/>
      <c r="I13" s="46"/>
      <c r="J13" s="44"/>
    </row>
    <row r="14" spans="1:10" x14ac:dyDescent="0.25">
      <c r="A14" s="56" t="s">
        <v>12</v>
      </c>
      <c r="B14" s="55">
        <v>6.5</v>
      </c>
      <c r="C14" s="67">
        <v>2.0833333333333332E-2</v>
      </c>
      <c r="D14" s="66">
        <f>Tabelle1!$C$11/5</f>
        <v>7.9</v>
      </c>
      <c r="E14" s="56"/>
      <c r="F14" s="61"/>
      <c r="G14" s="60"/>
      <c r="H14" s="46"/>
      <c r="I14" s="46"/>
      <c r="J14" s="44"/>
    </row>
    <row r="15" spans="1:10" x14ac:dyDescent="0.25">
      <c r="A15" s="58"/>
      <c r="B15" s="58"/>
      <c r="C15" s="58"/>
      <c r="D15" s="68"/>
      <c r="E15" s="58"/>
      <c r="F15" s="61"/>
      <c r="G15" s="60"/>
      <c r="H15" s="46"/>
      <c r="I15" s="46"/>
      <c r="J15" s="44"/>
    </row>
    <row r="16" spans="1:10" x14ac:dyDescent="0.25">
      <c r="A16" s="58"/>
      <c r="B16" s="58"/>
      <c r="C16" s="58" t="s">
        <v>25</v>
      </c>
      <c r="D16" s="58"/>
      <c r="E16" s="58"/>
      <c r="F16" s="61"/>
      <c r="G16" s="60"/>
      <c r="H16" s="46"/>
      <c r="I16" s="46"/>
      <c r="J16" s="44"/>
    </row>
    <row r="17" spans="1:10" x14ac:dyDescent="0.25">
      <c r="A17" s="58" t="s">
        <v>3</v>
      </c>
      <c r="B17" s="69" t="s">
        <v>4</v>
      </c>
      <c r="C17" s="58" t="s">
        <v>5</v>
      </c>
      <c r="D17" s="69" t="s">
        <v>6</v>
      </c>
      <c r="E17" s="58" t="s">
        <v>7</v>
      </c>
      <c r="F17" s="70"/>
      <c r="G17" s="60"/>
      <c r="H17" s="47"/>
      <c r="I17" s="46"/>
      <c r="J17" s="45"/>
    </row>
    <row r="18" spans="1:10" x14ac:dyDescent="0.25">
      <c r="A18" s="58" t="b">
        <v>1</v>
      </c>
      <c r="B18" s="58" t="b">
        <v>1</v>
      </c>
      <c r="C18" s="58" t="b">
        <v>1</v>
      </c>
      <c r="D18" s="58" t="b">
        <v>1</v>
      </c>
      <c r="E18" s="58" t="b">
        <v>1</v>
      </c>
      <c r="F18" s="61"/>
      <c r="G18" s="60"/>
      <c r="H18" s="46"/>
      <c r="I18" s="46"/>
      <c r="J18" s="44"/>
    </row>
    <row r="19" spans="1:10" x14ac:dyDescent="0.25">
      <c r="A19" s="61">
        <f>(Tabelle1!B19-Tabelle1!B17)*24</f>
        <v>5</v>
      </c>
      <c r="B19" s="61">
        <f>(Tabelle1!D19-Tabelle1!D17)*24</f>
        <v>5</v>
      </c>
      <c r="C19" s="61">
        <f>(Tabelle1!F19-Tabelle1!F17)*24</f>
        <v>5</v>
      </c>
      <c r="D19" s="61">
        <f>(Tabelle1!H19-Tabelle1!H17)*24</f>
        <v>5</v>
      </c>
      <c r="E19" s="61">
        <f>(Tabelle1!J19-Tabelle1!J17)*24</f>
        <v>1.9999999999999996</v>
      </c>
      <c r="F19" s="61"/>
      <c r="G19" s="60"/>
      <c r="H19" s="44"/>
      <c r="I19" s="44"/>
      <c r="J19" s="44"/>
    </row>
    <row r="20" spans="1:10" x14ac:dyDescent="0.25">
      <c r="A20" s="46"/>
      <c r="B20" s="46"/>
      <c r="C20" s="46"/>
      <c r="D20" s="46"/>
      <c r="E20" s="46"/>
      <c r="F20" s="46"/>
      <c r="G20" s="46"/>
      <c r="H20" s="44"/>
      <c r="I20" s="44"/>
      <c r="J20" s="44"/>
    </row>
    <row r="21" spans="1:10" x14ac:dyDescent="0.25">
      <c r="A21" s="46"/>
      <c r="B21" s="46"/>
      <c r="C21" s="46"/>
      <c r="D21" s="46"/>
      <c r="E21" s="46"/>
      <c r="F21" s="46"/>
      <c r="G21" s="46"/>
      <c r="H21" s="44"/>
      <c r="I21" s="44"/>
      <c r="J21" s="44"/>
    </row>
    <row r="22" spans="1:10" x14ac:dyDescent="0.25">
      <c r="A22" s="44"/>
      <c r="B22" s="44"/>
      <c r="C22" s="44"/>
      <c r="D22" s="44"/>
      <c r="E22" s="44"/>
      <c r="F22" s="44"/>
      <c r="G22" s="44"/>
      <c r="H22" s="44"/>
      <c r="I22" s="44"/>
      <c r="J22" s="44"/>
    </row>
    <row r="23" spans="1:10" x14ac:dyDescent="0.25">
      <c r="A23" s="44"/>
      <c r="B23" s="44"/>
      <c r="C23" s="44"/>
      <c r="D23" s="44"/>
      <c r="E23" s="44"/>
      <c r="F23" s="44"/>
      <c r="G23" s="44"/>
      <c r="H23" s="44"/>
      <c r="I23" s="44"/>
      <c r="J23" s="44"/>
    </row>
    <row r="24" spans="1:10" x14ac:dyDescent="0.25">
      <c r="A24" s="44"/>
      <c r="B24" s="44"/>
      <c r="C24" s="44"/>
      <c r="D24" s="44"/>
      <c r="E24" s="44"/>
      <c r="F24" s="44"/>
      <c r="G24" s="44"/>
      <c r="H24" s="44"/>
      <c r="I24" s="44"/>
      <c r="J24" s="44"/>
    </row>
    <row r="25" spans="1:10" x14ac:dyDescent="0.25">
      <c r="A25" s="44"/>
      <c r="B25" s="44"/>
      <c r="C25" s="44"/>
      <c r="D25" s="44"/>
      <c r="E25" s="44"/>
      <c r="F25" s="44"/>
      <c r="G25" s="44"/>
      <c r="H25" s="44"/>
      <c r="I25" s="44"/>
      <c r="J25" s="44"/>
    </row>
    <row r="26" spans="1:10" x14ac:dyDescent="0.25">
      <c r="A26" s="44"/>
      <c r="B26" s="44"/>
      <c r="C26" s="44"/>
      <c r="D26" s="44"/>
      <c r="E26" s="44"/>
      <c r="F26" s="44"/>
      <c r="G26" s="44"/>
      <c r="H26" s="44"/>
      <c r="I26" s="44"/>
      <c r="J26" s="44"/>
    </row>
    <row r="27" spans="1:10" x14ac:dyDescent="0.25">
      <c r="A27" s="44"/>
      <c r="B27" s="44"/>
      <c r="C27" s="44"/>
      <c r="D27" s="44"/>
      <c r="E27" s="44"/>
      <c r="F27" s="44"/>
      <c r="G27" s="44"/>
      <c r="H27" s="44"/>
      <c r="I27" s="44"/>
      <c r="J27" s="44"/>
    </row>
    <row r="28" spans="1:10" x14ac:dyDescent="0.25">
      <c r="A28" s="44"/>
      <c r="B28" s="44"/>
      <c r="C28" s="44"/>
      <c r="D28" s="44"/>
      <c r="E28" s="44"/>
      <c r="F28" s="44"/>
      <c r="G28" s="44"/>
      <c r="H28" s="44"/>
      <c r="I28" s="44"/>
      <c r="J28" s="44"/>
    </row>
    <row r="29" spans="1:10" x14ac:dyDescent="0.25">
      <c r="A29" s="26"/>
      <c r="B29" s="26"/>
      <c r="C29" s="26"/>
      <c r="D29" s="26"/>
      <c r="E29" s="26"/>
      <c r="F29" s="26"/>
      <c r="G29" s="26"/>
      <c r="H29" s="26"/>
    </row>
    <row r="30" spans="1:10" x14ac:dyDescent="0.25">
      <c r="A30" s="26"/>
      <c r="B30" s="26"/>
      <c r="C30" s="26"/>
      <c r="D30" s="26"/>
      <c r="E30" s="26"/>
      <c r="F30" s="26"/>
      <c r="G30" s="26"/>
      <c r="H30" s="26"/>
    </row>
    <row r="31" spans="1:10" x14ac:dyDescent="0.25">
      <c r="A31" s="26"/>
      <c r="B31" s="26"/>
      <c r="C31" s="26"/>
      <c r="D31" s="26"/>
      <c r="E31" s="26"/>
      <c r="F31" s="26"/>
      <c r="G31" s="26"/>
      <c r="H31" s="26"/>
    </row>
    <row r="32" spans="1:10" x14ac:dyDescent="0.25">
      <c r="A32" s="26"/>
      <c r="B32" s="26"/>
      <c r="C32" s="26"/>
      <c r="D32" s="26"/>
      <c r="E32" s="26"/>
      <c r="F32" s="26"/>
      <c r="G32" s="26"/>
      <c r="H32" s="26"/>
    </row>
  </sheetData>
  <sheetProtection algorithmName="SHA-512" hashValue="0Acla444R5kIjT1SsUVOIy5rRTIZlnhPxHSkjn/JmlR33QnCbvHSynz/oi9XF8sGbH7hS/pJFC74q1OExqlxoA==" saltValue="r6mSdNOmAy0IR9yDfAdWqw==" spinCount="100000" sheet="1" selectLockedCells="1" selectUnlockedCells="1"/>
  <conditionalFormatting sqref="B17:B23">
    <cfRule type="expression" priority="2">
      <formula>$A$18=FALSE</formula>
    </cfRule>
  </conditionalFormatting>
  <conditionalFormatting sqref="A19">
    <cfRule type="expression" priority="1">
      <formula>$A$18=FALSE</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Tabelle1</vt:lpstr>
      <vt:lpstr>Tabelle2</vt:lpstr>
    </vt:vector>
  </TitlesOfParts>
  <Company>Uni-Mannheim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Markus</dc:creator>
  <cp:lastModifiedBy>Peter, Markus</cp:lastModifiedBy>
  <dcterms:created xsi:type="dcterms:W3CDTF">2019-12-04T11:02:08Z</dcterms:created>
  <dcterms:modified xsi:type="dcterms:W3CDTF">2020-09-30T14:24:12Z</dcterms:modified>
</cp:coreProperties>
</file>